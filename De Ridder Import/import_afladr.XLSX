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filterPrivacy="1"/>
  <xr:revisionPtr revIDLastSave="0" documentId="13_ncr:1_{4433C804-D632-4B35-AE2D-2B875F1C04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1" r:id="rId1"/>
  </sheets>
  <externalReferences>
    <externalReference r:id="rId2"/>
  </externalReferenc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7" i="1" l="1"/>
  <c r="H147" i="1"/>
  <c r="J147" i="1"/>
  <c r="K147" i="1"/>
  <c r="L147" i="1"/>
  <c r="L103" i="1"/>
  <c r="L105" i="1"/>
  <c r="L82" i="1"/>
  <c r="K119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8" i="1"/>
  <c r="L79" i="1"/>
  <c r="L80" i="1"/>
  <c r="L81" i="1"/>
  <c r="L83" i="1"/>
  <c r="L84" i="1"/>
  <c r="L85" i="1"/>
  <c r="L86" i="1"/>
  <c r="L87" i="1"/>
  <c r="L88" i="1"/>
  <c r="L89" i="1"/>
  <c r="L90" i="1"/>
  <c r="L91" i="1"/>
  <c r="L93" i="1"/>
  <c r="L94" i="1"/>
  <c r="L95" i="1"/>
  <c r="L96" i="1"/>
  <c r="L97" i="1"/>
  <c r="L98" i="1"/>
  <c r="L99" i="1"/>
  <c r="L100" i="1"/>
  <c r="L101" i="1"/>
  <c r="L102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3" i="1"/>
  <c r="L124" i="1"/>
  <c r="L125" i="1"/>
  <c r="L126" i="1"/>
  <c r="L127" i="1"/>
  <c r="L128" i="1"/>
  <c r="L129" i="1"/>
  <c r="L131" i="1"/>
  <c r="L132" i="1"/>
  <c r="L133" i="1"/>
  <c r="L134" i="1"/>
  <c r="L135" i="1"/>
  <c r="L136" i="1"/>
  <c r="L13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3" i="1"/>
  <c r="L164" i="1"/>
  <c r="L165" i="1"/>
  <c r="L168" i="1"/>
  <c r="L169" i="1"/>
  <c r="L171" i="1"/>
  <c r="L172" i="1"/>
  <c r="L173" i="1"/>
  <c r="L175" i="1"/>
  <c r="L176" i="1"/>
  <c r="L177" i="1"/>
  <c r="L178" i="1"/>
  <c r="L179" i="1"/>
  <c r="L180" i="1"/>
  <c r="L181" i="1"/>
  <c r="L183" i="1"/>
  <c r="L185" i="1"/>
  <c r="L186" i="1"/>
  <c r="L189" i="1"/>
  <c r="L190" i="1"/>
  <c r="L191" i="1"/>
  <c r="L193" i="1"/>
  <c r="L194" i="1"/>
  <c r="L195" i="1"/>
  <c r="L197" i="1"/>
  <c r="L198" i="1"/>
  <c r="L199" i="1"/>
  <c r="L200" i="1"/>
  <c r="L202" i="1"/>
  <c r="L204" i="1"/>
  <c r="L210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40" i="1"/>
  <c r="L242" i="1"/>
  <c r="L243" i="1"/>
  <c r="L244" i="1"/>
  <c r="L249" i="1"/>
  <c r="L251" i="1"/>
  <c r="L253" i="1"/>
  <c r="L254" i="1"/>
  <c r="L255" i="1"/>
  <c r="L257" i="1"/>
  <c r="L260" i="1"/>
  <c r="L264" i="1"/>
  <c r="L289" i="1"/>
  <c r="L290" i="1"/>
  <c r="L291" i="1"/>
  <c r="L292" i="1"/>
  <c r="L293" i="1"/>
  <c r="L294" i="1"/>
  <c r="L295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20" i="1"/>
  <c r="L321" i="1"/>
  <c r="L322" i="1"/>
  <c r="L323" i="1"/>
  <c r="L324" i="1"/>
  <c r="L325" i="1"/>
  <c r="L326" i="1"/>
  <c r="L327" i="1"/>
  <c r="L328" i="1"/>
  <c r="L330" i="1"/>
  <c r="L331" i="1"/>
  <c r="L332" i="1"/>
  <c r="L333" i="1"/>
  <c r="L334" i="1"/>
  <c r="L335" i="1"/>
  <c r="L336" i="1"/>
  <c r="L337" i="1"/>
  <c r="L340" i="1"/>
  <c r="L341" i="1"/>
  <c r="L343" i="1"/>
  <c r="L344" i="1"/>
  <c r="L345" i="1"/>
  <c r="L346" i="1"/>
  <c r="L349" i="1"/>
  <c r="L350" i="1"/>
  <c r="L351" i="1"/>
  <c r="L352" i="1"/>
  <c r="L353" i="1"/>
  <c r="L354" i="1"/>
  <c r="L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50" i="1"/>
  <c r="K51" i="1"/>
  <c r="K52" i="1"/>
  <c r="K53" i="1"/>
  <c r="K54" i="1"/>
  <c r="K55" i="1"/>
  <c r="K56" i="1"/>
  <c r="K57" i="1"/>
  <c r="K58" i="1"/>
  <c r="K59" i="1"/>
  <c r="K60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8" i="1"/>
  <c r="K79" i="1"/>
  <c r="K80" i="1"/>
  <c r="K83" i="1"/>
  <c r="K84" i="1"/>
  <c r="K85" i="1"/>
  <c r="K86" i="1"/>
  <c r="K87" i="1"/>
  <c r="K88" i="1"/>
  <c r="K89" i="1"/>
  <c r="K90" i="1"/>
  <c r="K91" i="1"/>
  <c r="K93" i="1"/>
  <c r="K94" i="1"/>
  <c r="K95" i="1"/>
  <c r="K96" i="1"/>
  <c r="K97" i="1"/>
  <c r="K98" i="1"/>
  <c r="K99" i="1"/>
  <c r="K100" i="1"/>
  <c r="K101" i="1"/>
  <c r="K102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21" i="1"/>
  <c r="K123" i="1"/>
  <c r="K124" i="1"/>
  <c r="K125" i="1"/>
  <c r="K126" i="1"/>
  <c r="K127" i="1"/>
  <c r="K128" i="1"/>
  <c r="K129" i="1"/>
  <c r="K131" i="1"/>
  <c r="K132" i="1"/>
  <c r="K133" i="1"/>
  <c r="K134" i="1"/>
  <c r="K135" i="1"/>
  <c r="K136" i="1"/>
  <c r="K137" i="1"/>
  <c r="K148" i="1"/>
  <c r="K149" i="1"/>
  <c r="K150" i="1"/>
  <c r="K151" i="1"/>
  <c r="K152" i="1"/>
  <c r="K153" i="1"/>
  <c r="K154" i="1"/>
  <c r="K156" i="1"/>
  <c r="K157" i="1"/>
  <c r="K158" i="1"/>
  <c r="K160" i="1"/>
  <c r="K161" i="1"/>
  <c r="K163" i="1"/>
  <c r="K164" i="1"/>
  <c r="K168" i="1"/>
  <c r="K169" i="1"/>
  <c r="K171" i="1"/>
  <c r="K172" i="1"/>
  <c r="K173" i="1"/>
  <c r="K175" i="1"/>
  <c r="K176" i="1"/>
  <c r="K177" i="1"/>
  <c r="K178" i="1"/>
  <c r="K179" i="1"/>
  <c r="K180" i="1"/>
  <c r="K181" i="1"/>
  <c r="K183" i="1"/>
  <c r="K185" i="1"/>
  <c r="K186" i="1"/>
  <c r="K189" i="1"/>
  <c r="K191" i="1"/>
  <c r="K193" i="1"/>
  <c r="K194" i="1"/>
  <c r="K195" i="1"/>
  <c r="K197" i="1"/>
  <c r="K198" i="1"/>
  <c r="K200" i="1"/>
  <c r="K202" i="1"/>
  <c r="K213" i="1"/>
  <c r="K224" i="1"/>
  <c r="K225" i="1"/>
  <c r="K240" i="1"/>
  <c r="K244" i="1"/>
  <c r="K251" i="1"/>
  <c r="K254" i="1"/>
  <c r="K289" i="1"/>
  <c r="K293" i="1"/>
  <c r="K294" i="1"/>
  <c r="K295" i="1"/>
  <c r="K297" i="1"/>
  <c r="K298" i="1"/>
  <c r="K299" i="1"/>
  <c r="K300" i="1"/>
  <c r="K302" i="1"/>
  <c r="K303" i="1"/>
  <c r="K304" i="1"/>
  <c r="K305" i="1"/>
  <c r="K306" i="1"/>
  <c r="K308" i="1"/>
  <c r="K309" i="1"/>
  <c r="K313" i="1"/>
  <c r="K315" i="1"/>
  <c r="K316" i="1"/>
  <c r="K317" i="1"/>
  <c r="K318" i="1"/>
  <c r="K320" i="1"/>
  <c r="K323" i="1"/>
  <c r="K325" i="1"/>
  <c r="K326" i="1"/>
  <c r="K327" i="1"/>
  <c r="K328" i="1"/>
  <c r="K330" i="1"/>
  <c r="K331" i="1"/>
  <c r="K332" i="1"/>
  <c r="K333" i="1"/>
  <c r="K334" i="1"/>
  <c r="K335" i="1"/>
  <c r="K336" i="1"/>
  <c r="K340" i="1"/>
  <c r="K343" i="1"/>
  <c r="K344" i="1"/>
  <c r="K345" i="1"/>
  <c r="K349" i="1"/>
  <c r="K350" i="1"/>
  <c r="K351" i="1"/>
  <c r="K353" i="1"/>
  <c r="K354" i="1"/>
  <c r="K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50" i="1"/>
  <c r="J51" i="1"/>
  <c r="J52" i="1"/>
  <c r="J53" i="1"/>
  <c r="J54" i="1"/>
  <c r="J55" i="1"/>
  <c r="J56" i="1"/>
  <c r="J57" i="1"/>
  <c r="J58" i="1"/>
  <c r="J59" i="1"/>
  <c r="J60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8" i="1"/>
  <c r="J79" i="1"/>
  <c r="J80" i="1"/>
  <c r="J83" i="1"/>
  <c r="J84" i="1"/>
  <c r="J85" i="1"/>
  <c r="J86" i="1"/>
  <c r="J87" i="1"/>
  <c r="J88" i="1"/>
  <c r="J89" i="1"/>
  <c r="J90" i="1"/>
  <c r="J91" i="1"/>
  <c r="J93" i="1"/>
  <c r="J94" i="1"/>
  <c r="J95" i="1"/>
  <c r="J96" i="1"/>
  <c r="J97" i="1"/>
  <c r="J98" i="1"/>
  <c r="J99" i="1"/>
  <c r="J100" i="1"/>
  <c r="J101" i="1"/>
  <c r="J102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1" i="1"/>
  <c r="J123" i="1"/>
  <c r="J124" i="1"/>
  <c r="J125" i="1"/>
  <c r="J126" i="1"/>
  <c r="J127" i="1"/>
  <c r="J128" i="1"/>
  <c r="J129" i="1"/>
  <c r="J131" i="1"/>
  <c r="J132" i="1"/>
  <c r="J133" i="1"/>
  <c r="J134" i="1"/>
  <c r="J135" i="1"/>
  <c r="J136" i="1"/>
  <c r="J137" i="1"/>
  <c r="J148" i="1"/>
  <c r="J149" i="1"/>
  <c r="J150" i="1"/>
  <c r="J151" i="1"/>
  <c r="J152" i="1"/>
  <c r="J153" i="1"/>
  <c r="J154" i="1"/>
  <c r="J156" i="1"/>
  <c r="J157" i="1"/>
  <c r="J158" i="1"/>
  <c r="J160" i="1"/>
  <c r="J161" i="1"/>
  <c r="J163" i="1"/>
  <c r="J164" i="1"/>
  <c r="J168" i="1"/>
  <c r="J169" i="1"/>
  <c r="J171" i="1"/>
  <c r="J172" i="1"/>
  <c r="J173" i="1"/>
  <c r="J175" i="1"/>
  <c r="J176" i="1"/>
  <c r="J177" i="1"/>
  <c r="J178" i="1"/>
  <c r="J179" i="1"/>
  <c r="J180" i="1"/>
  <c r="J181" i="1"/>
  <c r="J183" i="1"/>
  <c r="J185" i="1"/>
  <c r="J186" i="1"/>
  <c r="J189" i="1"/>
  <c r="J191" i="1"/>
  <c r="J193" i="1"/>
  <c r="J194" i="1"/>
  <c r="J195" i="1"/>
  <c r="J197" i="1"/>
  <c r="J198" i="1"/>
  <c r="J200" i="1"/>
  <c r="J202" i="1"/>
  <c r="J213" i="1"/>
  <c r="J224" i="1"/>
  <c r="J225" i="1"/>
  <c r="J240" i="1"/>
  <c r="J244" i="1"/>
  <c r="J251" i="1"/>
  <c r="J289" i="1"/>
  <c r="J290" i="1"/>
  <c r="J293" i="1"/>
  <c r="J294" i="1"/>
  <c r="J295" i="1"/>
  <c r="J297" i="1"/>
  <c r="J298" i="1"/>
  <c r="J299" i="1"/>
  <c r="J300" i="1"/>
  <c r="J302" i="1"/>
  <c r="J303" i="1"/>
  <c r="J304" i="1"/>
  <c r="J305" i="1"/>
  <c r="J306" i="1"/>
  <c r="J308" i="1"/>
  <c r="J309" i="1"/>
  <c r="J313" i="1"/>
  <c r="J316" i="1"/>
  <c r="J317" i="1"/>
  <c r="J318" i="1"/>
  <c r="J320" i="1"/>
  <c r="J323" i="1"/>
  <c r="J325" i="1"/>
  <c r="J326" i="1"/>
  <c r="J327" i="1"/>
  <c r="J328" i="1"/>
  <c r="J330" i="1"/>
  <c r="J331" i="1"/>
  <c r="J332" i="1"/>
  <c r="J333" i="1"/>
  <c r="J334" i="1"/>
  <c r="J335" i="1"/>
  <c r="J336" i="1"/>
  <c r="J340" i="1"/>
  <c r="J343" i="1"/>
  <c r="J344" i="1"/>
  <c r="J345" i="1"/>
  <c r="J349" i="1"/>
  <c r="J350" i="1"/>
  <c r="J351" i="1"/>
  <c r="J353" i="1"/>
  <c r="J354" i="1"/>
  <c r="J6" i="1"/>
  <c r="I67" i="1"/>
  <c r="I74" i="1"/>
  <c r="I79" i="1"/>
  <c r="I99" i="1"/>
  <c r="I100" i="1"/>
  <c r="I110" i="1"/>
  <c r="I156" i="1"/>
  <c r="I161" i="1"/>
  <c r="I180" i="1"/>
  <c r="I186" i="1"/>
  <c r="I195" i="1"/>
  <c r="I242" i="1"/>
  <c r="I289" i="1"/>
  <c r="I298" i="1"/>
  <c r="I305" i="1"/>
  <c r="I306" i="1"/>
  <c r="I307" i="1"/>
  <c r="I308" i="1"/>
  <c r="I312" i="1"/>
  <c r="I313" i="1"/>
  <c r="I333" i="1"/>
  <c r="I337" i="1"/>
  <c r="I349" i="1"/>
  <c r="I351" i="1"/>
  <c r="H33" i="1"/>
  <c r="H34" i="1"/>
  <c r="H35" i="1"/>
  <c r="H36" i="1"/>
  <c r="H37" i="1"/>
  <c r="H38" i="1"/>
  <c r="H39" i="1"/>
  <c r="H40" i="1"/>
  <c r="H41" i="1"/>
  <c r="H42" i="1"/>
  <c r="H43" i="1"/>
  <c r="H50" i="1"/>
  <c r="H51" i="1"/>
  <c r="H52" i="1"/>
  <c r="H53" i="1"/>
  <c r="H54" i="1"/>
  <c r="H55" i="1"/>
  <c r="H56" i="1"/>
  <c r="H57" i="1"/>
  <c r="H58" i="1"/>
  <c r="H59" i="1"/>
  <c r="H60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8" i="1"/>
  <c r="H79" i="1"/>
  <c r="H80" i="1"/>
  <c r="H81" i="1"/>
  <c r="H83" i="1"/>
  <c r="H84" i="1"/>
  <c r="H85" i="1"/>
  <c r="H86" i="1"/>
  <c r="H87" i="1"/>
  <c r="H88" i="1"/>
  <c r="H89" i="1"/>
  <c r="H90" i="1"/>
  <c r="H91" i="1"/>
  <c r="H93" i="1"/>
  <c r="H94" i="1"/>
  <c r="H95" i="1"/>
  <c r="H96" i="1"/>
  <c r="H97" i="1"/>
  <c r="H98" i="1"/>
  <c r="H99" i="1"/>
  <c r="H100" i="1"/>
  <c r="H101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3" i="1"/>
  <c r="H124" i="1"/>
  <c r="H125" i="1"/>
  <c r="H126" i="1"/>
  <c r="H127" i="1"/>
  <c r="H128" i="1"/>
  <c r="H129" i="1"/>
  <c r="H131" i="1"/>
  <c r="H132" i="1"/>
  <c r="H133" i="1"/>
  <c r="H134" i="1"/>
  <c r="H135" i="1"/>
  <c r="H136" i="1"/>
  <c r="H137" i="1"/>
  <c r="H148" i="1"/>
  <c r="H149" i="1"/>
  <c r="H150" i="1"/>
  <c r="H151" i="1"/>
  <c r="H152" i="1"/>
  <c r="H153" i="1"/>
  <c r="H154" i="1"/>
  <c r="H156" i="1"/>
  <c r="H157" i="1"/>
  <c r="H158" i="1"/>
  <c r="H160" i="1"/>
  <c r="H161" i="1"/>
  <c r="H163" i="1"/>
  <c r="H164" i="1"/>
  <c r="H165" i="1"/>
  <c r="H168" i="1"/>
  <c r="H169" i="1"/>
  <c r="H171" i="1"/>
  <c r="H172" i="1"/>
  <c r="H173" i="1"/>
  <c r="H175" i="1"/>
  <c r="H176" i="1"/>
  <c r="H177" i="1"/>
  <c r="H178" i="1"/>
  <c r="H179" i="1"/>
  <c r="H180" i="1"/>
  <c r="H181" i="1"/>
  <c r="H183" i="1"/>
  <c r="H185" i="1"/>
  <c r="H189" i="1"/>
  <c r="H191" i="1"/>
  <c r="H193" i="1"/>
  <c r="H194" i="1"/>
  <c r="H195" i="1"/>
  <c r="H197" i="1"/>
  <c r="H198" i="1"/>
  <c r="H199" i="1"/>
  <c r="H200" i="1"/>
  <c r="H202" i="1"/>
  <c r="H204" i="1"/>
  <c r="H210" i="1"/>
  <c r="H213" i="1"/>
  <c r="H214" i="1"/>
  <c r="H216" i="1"/>
  <c r="H217" i="1"/>
  <c r="H218" i="1"/>
  <c r="H219" i="1"/>
  <c r="H221" i="1"/>
  <c r="H222" i="1"/>
  <c r="H223" i="1"/>
  <c r="H224" i="1"/>
  <c r="H240" i="1"/>
  <c r="H242" i="1"/>
  <c r="H243" i="1"/>
  <c r="H244" i="1"/>
  <c r="H249" i="1"/>
  <c r="H251" i="1"/>
  <c r="H253" i="1"/>
  <c r="H255" i="1"/>
  <c r="H257" i="1"/>
  <c r="H264" i="1"/>
  <c r="H289" i="1"/>
  <c r="H290" i="1"/>
  <c r="H291" i="1"/>
  <c r="H292" i="1"/>
  <c r="H293" i="1"/>
  <c r="H294" i="1"/>
  <c r="H297" i="1"/>
  <c r="H298" i="1"/>
  <c r="H299" i="1"/>
  <c r="H300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6" i="1"/>
  <c r="H317" i="1"/>
  <c r="H318" i="1"/>
  <c r="H320" i="1"/>
  <c r="H321" i="1"/>
  <c r="H322" i="1"/>
  <c r="H323" i="1"/>
  <c r="H324" i="1"/>
  <c r="H325" i="1"/>
  <c r="H326" i="1"/>
  <c r="H327" i="1"/>
  <c r="H328" i="1"/>
  <c r="H330" i="1"/>
  <c r="H331" i="1"/>
  <c r="H332" i="1"/>
  <c r="H334" i="1"/>
  <c r="H335" i="1"/>
  <c r="H336" i="1"/>
  <c r="H337" i="1"/>
  <c r="H340" i="1"/>
  <c r="H341" i="1"/>
  <c r="H343" i="1"/>
  <c r="H344" i="1"/>
  <c r="H345" i="1"/>
  <c r="H346" i="1"/>
  <c r="H349" i="1"/>
  <c r="H350" i="1"/>
  <c r="H351" i="1"/>
  <c r="H352" i="1"/>
  <c r="H353" i="1"/>
  <c r="H354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0" i="1"/>
  <c r="H31" i="1"/>
  <c r="H32" i="1"/>
  <c r="H6" i="1"/>
  <c r="G20" i="1"/>
  <c r="G21" i="1"/>
  <c r="G22" i="1"/>
  <c r="G23" i="1"/>
  <c r="G24" i="1"/>
  <c r="G25" i="1"/>
  <c r="G26" i="1"/>
  <c r="G27" i="1"/>
  <c r="G28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50" i="1"/>
  <c r="G51" i="1"/>
  <c r="G52" i="1"/>
  <c r="G53" i="1"/>
  <c r="G54" i="1"/>
  <c r="G55" i="1"/>
  <c r="G56" i="1"/>
  <c r="G57" i="1"/>
  <c r="G58" i="1"/>
  <c r="G59" i="1"/>
  <c r="G60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8" i="1"/>
  <c r="G79" i="1"/>
  <c r="G80" i="1"/>
  <c r="G81" i="1"/>
  <c r="G83" i="1"/>
  <c r="G84" i="1"/>
  <c r="G85" i="1"/>
  <c r="G86" i="1"/>
  <c r="G87" i="1"/>
  <c r="G88" i="1"/>
  <c r="G89" i="1"/>
  <c r="G90" i="1"/>
  <c r="G91" i="1"/>
  <c r="G93" i="1"/>
  <c r="G94" i="1"/>
  <c r="G95" i="1"/>
  <c r="G96" i="1"/>
  <c r="G97" i="1"/>
  <c r="G98" i="1"/>
  <c r="G99" i="1"/>
  <c r="G100" i="1"/>
  <c r="G101" i="1"/>
  <c r="G102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3" i="1"/>
  <c r="G124" i="1"/>
  <c r="G125" i="1"/>
  <c r="G126" i="1"/>
  <c r="G127" i="1"/>
  <c r="G128" i="1"/>
  <c r="G129" i="1"/>
  <c r="G131" i="1"/>
  <c r="G132" i="1"/>
  <c r="G133" i="1"/>
  <c r="G134" i="1"/>
  <c r="G135" i="1"/>
  <c r="G136" i="1"/>
  <c r="G137" i="1"/>
  <c r="G148" i="1"/>
  <c r="G149" i="1"/>
  <c r="G150" i="1"/>
  <c r="G151" i="1"/>
  <c r="G152" i="1"/>
  <c r="G153" i="1"/>
  <c r="G154" i="1"/>
  <c r="G156" i="1"/>
  <c r="G157" i="1"/>
  <c r="G158" i="1"/>
  <c r="G160" i="1"/>
  <c r="G161" i="1"/>
  <c r="G163" i="1"/>
  <c r="G164" i="1"/>
  <c r="G165" i="1"/>
  <c r="G168" i="1"/>
  <c r="G169" i="1"/>
  <c r="G171" i="1"/>
  <c r="G172" i="1"/>
  <c r="G173" i="1"/>
  <c r="G175" i="1"/>
  <c r="G176" i="1"/>
  <c r="G177" i="1"/>
  <c r="G178" i="1"/>
  <c r="G179" i="1"/>
  <c r="G180" i="1"/>
  <c r="G181" i="1"/>
  <c r="G183" i="1"/>
  <c r="G185" i="1"/>
  <c r="G186" i="1"/>
  <c r="G189" i="1"/>
  <c r="G190" i="1"/>
  <c r="G191" i="1"/>
  <c r="G193" i="1"/>
  <c r="G194" i="1"/>
  <c r="G195" i="1"/>
  <c r="G197" i="1"/>
  <c r="G198" i="1"/>
  <c r="G199" i="1"/>
  <c r="G200" i="1"/>
  <c r="G202" i="1"/>
  <c r="G204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40" i="1"/>
  <c r="G242" i="1"/>
  <c r="G243" i="1"/>
  <c r="G244" i="1"/>
  <c r="G249" i="1"/>
  <c r="G251" i="1"/>
  <c r="G253" i="1"/>
  <c r="G257" i="1"/>
  <c r="G260" i="1"/>
  <c r="G264" i="1"/>
  <c r="G289" i="1"/>
  <c r="G290" i="1"/>
  <c r="G291" i="1"/>
  <c r="G292" i="1"/>
  <c r="G293" i="1"/>
  <c r="G294" i="1"/>
  <c r="G295" i="1"/>
  <c r="G297" i="1"/>
  <c r="G298" i="1"/>
  <c r="G299" i="1"/>
  <c r="G300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20" i="1"/>
  <c r="G321" i="1"/>
  <c r="G322" i="1"/>
  <c r="G323" i="1"/>
  <c r="G324" i="1"/>
  <c r="G325" i="1"/>
  <c r="G326" i="1"/>
  <c r="G327" i="1"/>
  <c r="G328" i="1"/>
  <c r="G330" i="1"/>
  <c r="G331" i="1"/>
  <c r="G332" i="1"/>
  <c r="G333" i="1"/>
  <c r="G334" i="1"/>
  <c r="G335" i="1"/>
  <c r="G336" i="1"/>
  <c r="G337" i="1"/>
  <c r="G340" i="1"/>
  <c r="G341" i="1"/>
  <c r="G343" i="1"/>
  <c r="G344" i="1"/>
  <c r="G345" i="1"/>
  <c r="G346" i="1"/>
  <c r="G349" i="1"/>
  <c r="G350" i="1"/>
  <c r="G351" i="1"/>
  <c r="G352" i="1"/>
  <c r="G353" i="1"/>
  <c r="G354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0 = onwaar
1 = waar</t>
        </r>
      </text>
    </comment>
  </commentList>
</comments>
</file>

<file path=xl/sharedStrings.xml><?xml version="1.0" encoding="utf-8"?>
<sst xmlns="http://schemas.openxmlformats.org/spreadsheetml/2006/main" count="847" uniqueCount="617">
  <si>
    <t>Naam</t>
  </si>
  <si>
    <t>Instructie</t>
  </si>
  <si>
    <t>EAN-code</t>
  </si>
  <si>
    <t>Contactpersoon</t>
  </si>
  <si>
    <t>Hoofdafleveradres</t>
  </si>
  <si>
    <t>Huisnummer</t>
  </si>
  <si>
    <t>Toevoeging</t>
  </si>
  <si>
    <t>Postcode</t>
  </si>
  <si>
    <t>Plaatsnaam</t>
  </si>
  <si>
    <t>Land</t>
  </si>
  <si>
    <t>Staat/Provincie</t>
  </si>
  <si>
    <t>Locatie</t>
  </si>
  <si>
    <t>Telefoon 1</t>
  </si>
  <si>
    <t>Telefoon 2</t>
  </si>
  <si>
    <t>Fax</t>
  </si>
  <si>
    <t>E-mail</t>
  </si>
  <si>
    <t>Website</t>
  </si>
  <si>
    <t>Snelkiesnummer</t>
  </si>
  <si>
    <t>Straat</t>
  </si>
  <si>
    <t>Tabel</t>
  </si>
  <si>
    <t>Boolean</t>
  </si>
  <si>
    <t>VB</t>
  </si>
  <si>
    <t>Temp</t>
  </si>
  <si>
    <t>Teststraat</t>
  </si>
  <si>
    <t>3846AX</t>
  </si>
  <si>
    <t>Harderwijk</t>
  </si>
  <si>
    <t>NL</t>
  </si>
  <si>
    <t>0341-123456</t>
  </si>
  <si>
    <t>0341-123457</t>
  </si>
  <si>
    <t>0341-123999</t>
  </si>
  <si>
    <t>info@ridder.nl</t>
  </si>
  <si>
    <t>www.ridder.nl</t>
  </si>
  <si>
    <t>Unieke waarde</t>
  </si>
  <si>
    <t>External Key</t>
  </si>
  <si>
    <t>Relatiecode</t>
  </si>
  <si>
    <t>LOOD INTERIEURBOUW BV</t>
  </si>
  <si>
    <t>Van Wijnen Recreatiebouw</t>
  </si>
  <si>
    <t>RAAB KARCHER HILVERSUM (NOORD)</t>
  </si>
  <si>
    <t>BOUWCENTER Floris veris</t>
  </si>
  <si>
    <t>Landal Coldenhove</t>
  </si>
  <si>
    <t>BMN HARDERWIJK (CRH)N</t>
  </si>
  <si>
    <t>CpSp België NV Erperheide</t>
  </si>
  <si>
    <t>Vuur en Klank Haarden en Audio</t>
  </si>
  <si>
    <t>Bouwcenter Nobel Lochem</t>
  </si>
  <si>
    <t>BouwCenter Goedhart</t>
  </si>
  <si>
    <t>STIHO ALKMAAR veris</t>
  </si>
  <si>
    <t>BOUWMATERIALEN JOS ARIES VOF</t>
  </si>
  <si>
    <t>BADHOEVESE BMH</t>
  </si>
  <si>
    <t>Landal Lommerbergen</t>
  </si>
  <si>
    <t>BMN HOORN (CRH)W</t>
  </si>
  <si>
    <t>DE BEDIJKING BMH</t>
  </si>
  <si>
    <t>Bos Haarden &amp;  Kachels  Vof</t>
  </si>
  <si>
    <t>BMN HEEMSTEDE (CRH)W</t>
  </si>
  <si>
    <t>Bouwcenter Concordia.</t>
  </si>
  <si>
    <t>BOUWCENTER DIJKSTRA  veris</t>
  </si>
  <si>
    <t>G.B. van Echtelt &amp; Zoon B.V.</t>
  </si>
  <si>
    <t>BMN DEN HAAG (CRH)W</t>
  </si>
  <si>
    <t>RAAB KARCHER ESHUIS</t>
  </si>
  <si>
    <t>BOUWCENTER ESSELINK BM B.V. veris</t>
  </si>
  <si>
    <t>BMN SNEEK BV (CRH)N</t>
  </si>
  <si>
    <t>SNAIDERO CONCEPT STORE R.J.KEUKENS</t>
  </si>
  <si>
    <t>BMN AMSTERDAM (CRH)W</t>
  </si>
  <si>
    <t>Comfort parket &amp; haarden</t>
  </si>
  <si>
    <t>BMN FRANEKER  (CRH)N</t>
  </si>
  <si>
    <t>Ter Harmsel  &amp; Zoon</t>
  </si>
  <si>
    <t>Jos Harm B.V. Exclusieve Haarden</t>
  </si>
  <si>
    <t>DE HEIDE SMID</t>
  </si>
  <si>
    <t>BOUWCENTER HCI BV veris</t>
  </si>
  <si>
    <t>BMN DRACHTEN (CRH)N</t>
  </si>
  <si>
    <t>Open Haarden Centrum Deurne</t>
  </si>
  <si>
    <t>BOUWCENTER LOGUS - DE HOOP TERNEUZEN veris</t>
  </si>
  <si>
    <t>'t Kachelhuus van der Vlist V.O.F.</t>
  </si>
  <si>
    <t>Warmtestore B.V.</t>
  </si>
  <si>
    <t>STIHO HAARLEM veris</t>
  </si>
  <si>
    <t>STIHO BOUWPLEIN DEVENTER veris</t>
  </si>
  <si>
    <t>BOUWCENTER KOOLSCHIJN veris</t>
  </si>
  <si>
    <t>Van Manen Huis en Haard BV</t>
  </si>
  <si>
    <t>Van Mazijk  Haarden &amp; Kachels</t>
  </si>
  <si>
    <t>Meppelink Haarden</t>
  </si>
  <si>
    <t>Van de Merwe</t>
  </si>
  <si>
    <t>BMN HARDENBERG (CRH)N</t>
  </si>
  <si>
    <t>RAAB KARCHER HILLEGOM (WEST)</t>
  </si>
  <si>
    <t>BMN HAASTRECHT (CRH)Z</t>
  </si>
  <si>
    <t>De Openhaarden &amp; Plavuizen specialist BV</t>
  </si>
  <si>
    <t>Open Haarden Centrum B.V.</t>
  </si>
  <si>
    <t>BOUWCENTER RAB OUDESCHILD veris</t>
  </si>
  <si>
    <t>Schoemaker &amp; zoon</t>
  </si>
  <si>
    <t>BMN ALKMAAR (CRH)</t>
  </si>
  <si>
    <t>Strating Openhaarden</t>
  </si>
  <si>
    <t>BOUWCENTER SWINKELS veris</t>
  </si>
  <si>
    <t>Tibas Openhaarden &amp; Kachels</t>
  </si>
  <si>
    <t>BMN GRONINGEN (CRH)N</t>
  </si>
  <si>
    <t>BMN LEEUWARDEN (CRH)N</t>
  </si>
  <si>
    <t>RAAB KARCHER WADDINXVEEN (WEST)</t>
  </si>
  <si>
    <t>BOUWCENTER RAB UTRECHT veris</t>
  </si>
  <si>
    <t>BOUWCENTER FILIPPO OUDE WETERING veris</t>
  </si>
  <si>
    <t>Bouwcenter RAB Alkmaar</t>
  </si>
  <si>
    <t>STIHO DE ZEEUW POELDIJK B.V. veris</t>
  </si>
  <si>
    <t>kachelspeciaalzaak Wichink Kruit B.V.</t>
  </si>
  <si>
    <t>Match Vuur &amp; Interieur</t>
  </si>
  <si>
    <t>Center Parcs Netherlands N.V. - Port Zeelande</t>
  </si>
  <si>
    <t>Interschouw</t>
  </si>
  <si>
    <t>NV.  A.ZWENNES</t>
  </si>
  <si>
    <t>Warmtestore Mijdrecht</t>
  </si>
  <si>
    <t>Bouwcenter Filippo</t>
  </si>
  <si>
    <t>BOUWCENTER CONCORDIA HOOGEVEEN veris</t>
  </si>
  <si>
    <t>CP NETHERLANDS NV HUTTENHEUGTE</t>
  </si>
  <si>
    <t>Landal Het Vennenbos</t>
  </si>
  <si>
    <t>Center Parcs Netherlands N.V. - Meerdal</t>
  </si>
  <si>
    <t>CP NETHERLANDS NV HEIJDERBOS</t>
  </si>
  <si>
    <t>Center Parcs Netherlands N.V. - Kempervennen</t>
  </si>
  <si>
    <t>BMN ZWOLLE (CRH)N</t>
  </si>
  <si>
    <t>Nuovo Antico B.V.</t>
  </si>
  <si>
    <t>BMN WOERDEN B.V. (CRH)Z</t>
  </si>
  <si>
    <t>BOUWCENTER CENTEN veris</t>
  </si>
  <si>
    <t>Landal Sluftervallei</t>
  </si>
  <si>
    <t>Landal Hoog Vaals</t>
  </si>
  <si>
    <t>BOUWCENTER CONCORDIA OOSTERWOLDE veris</t>
  </si>
  <si>
    <t>Landal Rabbit Hill</t>
  </si>
  <si>
    <t>Holding G. Vermunt  Wagenberg B.V.</t>
  </si>
  <si>
    <t>Kachelspeciaalzaak Bruggeman B.V.</t>
  </si>
  <si>
    <t>Schouwspel B.V.</t>
  </si>
  <si>
    <t>Haardengoed B.V.</t>
  </si>
  <si>
    <t>Appelman Haarden Architektuur</t>
  </si>
  <si>
    <t>BOUWCENTER RAB WASSENAAR veris</t>
  </si>
  <si>
    <t>Kachelhandel  Lubeko</t>
  </si>
  <si>
    <t>Landal Twenhaarsveld</t>
  </si>
  <si>
    <t>Mulder Haarden &amp; Kachels</t>
  </si>
  <si>
    <t>Albert Keizer</t>
  </si>
  <si>
    <t>BMN HENGELO (CRH)O</t>
  </si>
  <si>
    <t>BMN ENKHUIZEN (CRH)W</t>
  </si>
  <si>
    <t>BMN ZWAAG (CRH)W</t>
  </si>
  <si>
    <t>BMN ASSEN (CRH)N</t>
  </si>
  <si>
    <t>BMN OLDEKERK (CRH)N</t>
  </si>
  <si>
    <t>BMN LEENS (CRH)N</t>
  </si>
  <si>
    <t>RAAB KARCHER KAMPEN (NOORD)</t>
  </si>
  <si>
    <t>DANIELS EXCL.HAARDEN (REMBOURS)</t>
  </si>
  <si>
    <t>Center Parcs Bungalowpark Bispingen GmbH</t>
  </si>
  <si>
    <t>Kachels &amp; Zo</t>
  </si>
  <si>
    <t>BOUWCENTER FLORIS AMSTERDAM veris</t>
  </si>
  <si>
    <t>RAAB KARCHER OLDENZAAL (OOST)</t>
  </si>
  <si>
    <t>BMN LEMMER (CRH)N</t>
  </si>
  <si>
    <t>BMN MEDEMBLIK (CRH)W</t>
  </si>
  <si>
    <t>BMN DOKKUM (CRH)N</t>
  </si>
  <si>
    <t>RAAB KARCHER BREDA (ZUID)</t>
  </si>
  <si>
    <t>H.O Schalij Rijssen B.V.</t>
  </si>
  <si>
    <t>BMN PURMEREND (CRH)W</t>
  </si>
  <si>
    <t>Service Haardencentrum Alkmaar</t>
  </si>
  <si>
    <t>Kuijt Haarden &amp; Kachels</t>
  </si>
  <si>
    <t>Van Wijnen Heerhugowaard B.V.</t>
  </si>
  <si>
    <t>Paul Spronk Ambachtelijke Openhaardenbouw BV</t>
  </si>
  <si>
    <t>Krul Alltech Kachels &amp; Haarden</t>
  </si>
  <si>
    <t>HAARDENEXPERT BV</t>
  </si>
  <si>
    <t>Fuego Kachels &amp; Haarden</t>
  </si>
  <si>
    <t>RAAB KARCHER HENGELO (OOST)</t>
  </si>
  <si>
    <t>RAAB KARCHER RAALTE (OOST)</t>
  </si>
  <si>
    <t>Willem Schermerhorn</t>
  </si>
  <si>
    <t>Sparks.nu Haardenservice VOF</t>
  </si>
  <si>
    <t>Openhaarden Service Nederland AIMOS</t>
  </si>
  <si>
    <t>Bouwcenter RAB Zwaag</t>
  </si>
  <si>
    <t>OUWEHAND BOUW PLUS B.V.</t>
  </si>
  <si>
    <t>DIAS Schouwen &amp; Haarden</t>
  </si>
  <si>
    <t>Ooms Warmtewereld v.o.f.</t>
  </si>
  <si>
    <t>Het Kacheltje</t>
  </si>
  <si>
    <t>Hooijer Haarden  &amp;  Vloeren</t>
  </si>
  <si>
    <t>Installatiebedrijf Jan Diender B.V.</t>
  </si>
  <si>
    <t>Wolterinck</t>
  </si>
  <si>
    <t>Reijnhoudt &amp; van der Zwet</t>
  </si>
  <si>
    <t>Hof van Salland</t>
  </si>
  <si>
    <t>Alfrebo Handelsonderneming</t>
  </si>
  <si>
    <t>C.P. onderhoudsbedrijf</t>
  </si>
  <si>
    <t>Marcel Eman Openhaarden</t>
  </si>
  <si>
    <t>BMN VEGHEL (CRH)Z</t>
  </si>
  <si>
    <t>Openhaarden &amp; Kachelcentrum De Griffioen</t>
  </si>
  <si>
    <t>Samshuijzen Onderhoud &amp; Renovatie</t>
  </si>
  <si>
    <t>Otto Vuur BV</t>
  </si>
  <si>
    <t>Vano Haarden &amp; Natuursteen BV</t>
  </si>
  <si>
    <t>BOUWCENTER CONCORDIA HEERENVEEN veris</t>
  </si>
  <si>
    <t>Kusk Haarden &amp;  Kachels</t>
  </si>
  <si>
    <t>Rietveld Openhaarden</t>
  </si>
  <si>
    <t>Van Rossum kachels</t>
  </si>
  <si>
    <t>Houtkacheldirect.nl</t>
  </si>
  <si>
    <t>VIC INSTALLATIE</t>
  </si>
  <si>
    <t>POOK Haarden B.V.</t>
  </si>
  <si>
    <t>P.C.C. Property Care Consultancy</t>
  </si>
  <si>
    <t>Nico Schouw Openhaardenbouw</t>
  </si>
  <si>
    <t>De Vries Haarden &amp; Kachels Installaties</t>
  </si>
  <si>
    <t>Betuws Schoorsteenveegbedrijf &amp;</t>
  </si>
  <si>
    <t>VDB METAALBEWERKING</t>
  </si>
  <si>
    <t>Installatiebedrijf De Boers</t>
  </si>
  <si>
    <t>Flamboyant Haarden B.V.</t>
  </si>
  <si>
    <t>Schouwenpaleis Breda</t>
  </si>
  <si>
    <t>BOUWCENTER VEGHEL veris</t>
  </si>
  <si>
    <t>Omikron</t>
  </si>
  <si>
    <t>Have Verwarming B.V.</t>
  </si>
  <si>
    <t>Sinwi Europe B.V.</t>
  </si>
  <si>
    <t>Leda Werk Gmbh &amp; Co</t>
  </si>
  <si>
    <t>Fuego Difusion</t>
  </si>
  <si>
    <t>Haardengoed Anyfire</t>
  </si>
  <si>
    <t>Dimitrios G. Nicolaou &amp; SIA E.E.</t>
  </si>
  <si>
    <t>Industrias Hergom S.L</t>
  </si>
  <si>
    <t>Gas Supply</t>
  </si>
  <si>
    <t>Fero NV</t>
  </si>
  <si>
    <t>IMPORCHAMA</t>
  </si>
  <si>
    <t>Unifire Service NV</t>
  </si>
  <si>
    <t>Thermo Technology International d.o.o.</t>
  </si>
  <si>
    <t>THE FLAME GmbH</t>
  </si>
  <si>
    <t>Marchona Ltd</t>
  </si>
  <si>
    <t>Flexinox</t>
  </si>
  <si>
    <t>Home Fire BV</t>
  </si>
  <si>
    <t>Stone Creations</t>
  </si>
  <si>
    <t>Percy Doughty &amp; Co</t>
  </si>
  <si>
    <t>Meda Somine Ve Baca</t>
  </si>
  <si>
    <t>Fondis</t>
  </si>
  <si>
    <t>Schalij H.O. Apeldoorn B.V.</t>
  </si>
  <si>
    <t>Schrier Sfeer- &amp; Designhaarden</t>
  </si>
  <si>
    <t>TiM Kominki Sp. z o.o.</t>
  </si>
  <si>
    <t>Hase-Kaminofenbau GmbH</t>
  </si>
  <si>
    <t>Led-e-Lux Supply B.V.</t>
  </si>
  <si>
    <t>Lotus Heating Systems A/S</t>
  </si>
  <si>
    <t>BELGOFIRE NV</t>
  </si>
  <si>
    <t>Mario Hili - Hilite Hardware Store</t>
  </si>
  <si>
    <t>BUNTFIRES</t>
  </si>
  <si>
    <t>TURBO FONTE SAS</t>
  </si>
  <si>
    <t>Schmitzker Heiztechnik GmbH &amp; Co. KG</t>
  </si>
  <si>
    <t>De Vries Haarden en Kachels Installaties</t>
  </si>
  <si>
    <t>Romotop spol. s.r.o.</t>
  </si>
  <si>
    <t>Idegarden Living</t>
  </si>
  <si>
    <t>MONT-EXPORT SRL</t>
  </si>
  <si>
    <t>Schindler+Hofmann GmbH</t>
  </si>
  <si>
    <t>Donselaar Tenten</t>
  </si>
  <si>
    <t>Olsberg GmbH</t>
  </si>
  <si>
    <t>CERA-Design by Britta von Tasch GmbH</t>
  </si>
  <si>
    <t>HASE Ofen AG</t>
  </si>
  <si>
    <t>Noordwijk Vakanties</t>
  </si>
  <si>
    <t>Schmidt Schoorsteenwerken B.V.</t>
  </si>
  <si>
    <t>Goedbeschouwd</t>
  </si>
  <si>
    <t>Droomkachels B.V.</t>
  </si>
  <si>
    <t>Gasstookwacht-Centrale BV</t>
  </si>
  <si>
    <t>Niersman Bouw Haaglanden B.V.</t>
  </si>
  <si>
    <t>Landal de Heihaas B.V.</t>
  </si>
  <si>
    <t>Service Debiteur</t>
  </si>
  <si>
    <t>Van Kessel Exclusief Bouwbedrijf  Vof</t>
  </si>
  <si>
    <t>Klein Vink recreatie BV</t>
  </si>
  <si>
    <t>Oudman Trade &amp; Management</t>
  </si>
  <si>
    <t>Stichting Landgoed de Hellendoornse Berg</t>
  </si>
  <si>
    <t>Haardmateriaal.nl</t>
  </si>
  <si>
    <t>J&amp;B Wouters Haarden &amp; Kachels B.V.</t>
  </si>
  <si>
    <t>Boxman van Wijk</t>
  </si>
  <si>
    <t>Daniels Openhaarden</t>
  </si>
  <si>
    <t>Sfeervol Stoken</t>
  </si>
  <si>
    <t>Jantri</t>
  </si>
  <si>
    <t>Buysse natuursteen bvba</t>
  </si>
  <si>
    <t>Nuovo</t>
  </si>
  <si>
    <t>CP Onderhoud Rotterdam</t>
  </si>
  <si>
    <t>Matim</t>
  </si>
  <si>
    <t>Landal Miggelenberg</t>
  </si>
  <si>
    <t>De Zeeuwse Haardenspecialist</t>
  </si>
  <si>
    <t>Succes Haard - Centrum voor sfeerwarmte</t>
  </si>
  <si>
    <t>De Haardstede v.o.f.</t>
  </si>
  <si>
    <t>Heerkens Fireplaces BV</t>
  </si>
  <si>
    <t>Pelletplus.nl</t>
  </si>
  <si>
    <t>Bouwcenter Helmondse Bouwmaterialen</t>
  </si>
  <si>
    <t>Kachelh–s Fryslƒn ït Stokertje</t>
  </si>
  <si>
    <t>Landal Orveltermarke</t>
  </si>
  <si>
    <t>Haard &amp; Design Veenendaal</t>
  </si>
  <si>
    <t>Van Dam wonen en slapen</t>
  </si>
  <si>
    <t>NivoMeubel BV</t>
  </si>
  <si>
    <t>Kachels &amp; Haarden Wintermans Eersel</t>
  </si>
  <si>
    <t>Villa park 't Veenmeer</t>
  </si>
  <si>
    <t>Eigenaren Oesterdam Waterrijk Tholen</t>
  </si>
  <si>
    <t>VBK Retail BV</t>
  </si>
  <si>
    <t>'t Smidje Haarden &amp; Kachels</t>
  </si>
  <si>
    <t>Hout &amp; Haard</t>
  </si>
  <si>
    <t>RAAB KARCHER COEVORDEN</t>
  </si>
  <si>
    <t>E-tailer group</t>
  </si>
  <si>
    <t>Kachelhuis Keemers</t>
  </si>
  <si>
    <t>CB-tec GmbH</t>
  </si>
  <si>
    <t>Beerten Haardendesign</t>
  </si>
  <si>
    <t>Haardonline</t>
  </si>
  <si>
    <t>Komfyr sfeerhaarden</t>
  </si>
  <si>
    <t>Bouwcenter Nelemans Etten-Leur</t>
  </si>
  <si>
    <t>van Alphen Openhaarden   B.V.</t>
  </si>
  <si>
    <t>STOVEPARTS.NL</t>
  </si>
  <si>
    <t>Haard &amp; Zo</t>
  </si>
  <si>
    <t>Gas.be</t>
  </si>
  <si>
    <t>DHS Domestic Heating Solutions BV</t>
  </si>
  <si>
    <t>BENAMING VAN</t>
  </si>
  <si>
    <t>Berghem</t>
  </si>
  <si>
    <t>5351 MV</t>
  </si>
  <si>
    <t>Rijssen</t>
  </si>
  <si>
    <t>7463 PG</t>
  </si>
  <si>
    <t>11 (laatste deur)</t>
  </si>
  <si>
    <t>D-29646</t>
  </si>
  <si>
    <t>Bispingen</t>
  </si>
  <si>
    <t>Eksel</t>
  </si>
  <si>
    <t>Soest</t>
  </si>
  <si>
    <t>KOTUN</t>
  </si>
  <si>
    <t>08-130</t>
  </si>
  <si>
    <t>Postbauer</t>
  </si>
  <si>
    <t>Avda. De Ronda</t>
  </si>
  <si>
    <t>PARLA (Madrid- España)</t>
  </si>
  <si>
    <t>KOROPI</t>
  </si>
  <si>
    <t>SOTO DE LA MARINA</t>
  </si>
  <si>
    <t>SANDEFJORD</t>
  </si>
  <si>
    <t>OUDENAARDE</t>
  </si>
  <si>
    <t>ERMESINDE</t>
  </si>
  <si>
    <t>ZAVIDOVICI</t>
  </si>
  <si>
    <t>JENBACH</t>
  </si>
  <si>
    <t>ENGOMI</t>
  </si>
  <si>
    <t>B-9700</t>
  </si>
  <si>
    <t>4445-349</t>
  </si>
  <si>
    <t>Warszawa</t>
  </si>
  <si>
    <t>00-716</t>
  </si>
  <si>
    <t>Trier</t>
  </si>
  <si>
    <t>Dresden</t>
  </si>
  <si>
    <t>Olsberg</t>
  </si>
  <si>
    <t>Lyngby</t>
  </si>
  <si>
    <t>VITTORIO VENETO (TV)</t>
  </si>
  <si>
    <t>Schwetzingen</t>
  </si>
  <si>
    <t>Neftenbach</t>
  </si>
  <si>
    <t>Duren</t>
  </si>
  <si>
    <t>Hoofddorp</t>
  </si>
  <si>
    <t>2131 CV</t>
  </si>
  <si>
    <t>Dronten</t>
  </si>
  <si>
    <t>Leek</t>
  </si>
  <si>
    <t>Sijsele</t>
  </si>
  <si>
    <t>8353 PS</t>
  </si>
  <si>
    <t>9351 NP</t>
  </si>
  <si>
    <t>Rotterdam</t>
  </si>
  <si>
    <t>3075 RE</t>
  </si>
  <si>
    <t>Nuland</t>
  </si>
  <si>
    <t>5391 LR</t>
  </si>
  <si>
    <t>Zuidwolde DR</t>
  </si>
  <si>
    <t>7921 VN</t>
  </si>
  <si>
    <t>Joure</t>
  </si>
  <si>
    <t>8501 ZA</t>
  </si>
  <si>
    <t>Goes</t>
  </si>
  <si>
    <t>4462 HA</t>
  </si>
  <si>
    <t>Ungerhausen</t>
  </si>
  <si>
    <t>Meerle</t>
  </si>
  <si>
    <t>BRUSSEL</t>
  </si>
  <si>
    <t>Nieuwe Groeneweg</t>
  </si>
  <si>
    <t>Oosterland</t>
  </si>
  <si>
    <t>4307 RT</t>
  </si>
  <si>
    <t>Brinks Transport</t>
  </si>
  <si>
    <t>Burg van Heugtenlaan</t>
  </si>
  <si>
    <t>Nieuwekerk aan de IJssel</t>
  </si>
  <si>
    <t>2911 HA</t>
  </si>
  <si>
    <t>Butaanstraat</t>
  </si>
  <si>
    <t>A</t>
  </si>
  <si>
    <t>Industrieweg</t>
  </si>
  <si>
    <t>8263 AC</t>
  </si>
  <si>
    <t>Kampen</t>
  </si>
  <si>
    <t>Topperweg</t>
  </si>
  <si>
    <t>Kootwijkerbroek</t>
  </si>
  <si>
    <t>Vossenbeemd</t>
  </si>
  <si>
    <t>Helmond</t>
  </si>
  <si>
    <t>5705 CL</t>
  </si>
  <si>
    <t>HEUMENSEWEG</t>
  </si>
  <si>
    <t>WIJCHEN (ALVERNA)</t>
  </si>
  <si>
    <t>6603 CW</t>
  </si>
  <si>
    <t>Mijdrecht</t>
  </si>
  <si>
    <t>3641 RK</t>
  </si>
  <si>
    <t>Raadhuisstraat</t>
  </si>
  <si>
    <t>Alphen aan den Rijn</t>
  </si>
  <si>
    <t>2406 AD</t>
  </si>
  <si>
    <t>de Noesten</t>
  </si>
  <si>
    <t>Westenbork</t>
  </si>
  <si>
    <t>9431 TG</t>
  </si>
  <si>
    <t>Dorpsstraat</t>
  </si>
  <si>
    <t>Orvelte</t>
  </si>
  <si>
    <t>9441 PD</t>
  </si>
  <si>
    <t>Slachtedyk</t>
  </si>
  <si>
    <t>Rhenoy</t>
  </si>
  <si>
    <t>4152 EN</t>
  </si>
  <si>
    <t>Plaagsagen</t>
  </si>
  <si>
    <t>7463 PH</t>
  </si>
  <si>
    <t>Dorser</t>
  </si>
  <si>
    <t>Someren</t>
  </si>
  <si>
    <t>5711 LE</t>
  </si>
  <si>
    <t>Gelriaweg</t>
  </si>
  <si>
    <t>Epe</t>
  </si>
  <si>
    <t>8161 RK</t>
  </si>
  <si>
    <t>Hapseweg</t>
  </si>
  <si>
    <t>5454 NS</t>
  </si>
  <si>
    <t>Sint Hubert</t>
  </si>
  <si>
    <t>12-18</t>
  </si>
  <si>
    <t>Koninsbergenweg</t>
  </si>
  <si>
    <t>Barneveld</t>
  </si>
  <si>
    <t>3771 NS</t>
  </si>
  <si>
    <t>Markt</t>
  </si>
  <si>
    <t>Wouw</t>
  </si>
  <si>
    <t>4724 BK</t>
  </si>
  <si>
    <t>Poelkbeekstraat</t>
  </si>
  <si>
    <t>Roosendaal</t>
  </si>
  <si>
    <t>Prinses Margrietlaan</t>
  </si>
  <si>
    <t>De Meern</t>
  </si>
  <si>
    <t>3454 AK</t>
  </si>
  <si>
    <t>Sleutelbloemstraat</t>
  </si>
  <si>
    <t>Apeldoorn</t>
  </si>
  <si>
    <t>7322 AK</t>
  </si>
  <si>
    <t>Trompstraat</t>
  </si>
  <si>
    <t>7461 GC</t>
  </si>
  <si>
    <t>Voorschoterweg</t>
  </si>
  <si>
    <t>Katwijk</t>
  </si>
  <si>
    <t>2235 SE</t>
  </si>
  <si>
    <t>e</t>
  </si>
  <si>
    <t>Zevenend</t>
  </si>
  <si>
    <t>Laren NH</t>
  </si>
  <si>
    <t>1251 RL</t>
  </si>
  <si>
    <t>Rustenburgerstraat</t>
  </si>
  <si>
    <t>Amsterdam</t>
  </si>
  <si>
    <t>1074 JL</t>
  </si>
  <si>
    <t>Tinnegieterswei</t>
  </si>
  <si>
    <t>Valkenswaard</t>
  </si>
  <si>
    <t>5551 SL</t>
  </si>
  <si>
    <t>Wittenburgerweg</t>
  </si>
  <si>
    <t>Wassenaar</t>
  </si>
  <si>
    <t>2244 CA</t>
  </si>
  <si>
    <t>Steve Bikostraat</t>
  </si>
  <si>
    <t>2131 RX</t>
  </si>
  <si>
    <t>Veldhoven</t>
  </si>
  <si>
    <t>IJsselmuiden</t>
  </si>
  <si>
    <t>8271 RT</t>
  </si>
  <si>
    <t>40 / 42</t>
  </si>
  <si>
    <t>Vissersdijk</t>
  </si>
  <si>
    <t>Zierikzee</t>
  </si>
  <si>
    <t>4301 ND</t>
  </si>
  <si>
    <t>Keurenplein</t>
  </si>
  <si>
    <t>1069 CD</t>
  </si>
  <si>
    <t>Nicolaesstraat</t>
  </si>
  <si>
    <t>1071 RH</t>
  </si>
  <si>
    <t>a</t>
  </si>
  <si>
    <t>Rijksstraatweg</t>
  </si>
  <si>
    <t>4194 SK</t>
  </si>
  <si>
    <t>Meteren</t>
  </si>
  <si>
    <t>105-1</t>
  </si>
  <si>
    <t>Kommisjewei</t>
  </si>
  <si>
    <t xml:space="preserve">9218 PD </t>
  </si>
  <si>
    <t>OPEINDE</t>
  </si>
  <si>
    <t>Zeilmakerstraat</t>
  </si>
  <si>
    <t xml:space="preserve">4871 ER </t>
  </si>
  <si>
    <t>ETTEN-LEUR</t>
  </si>
  <si>
    <t>Cliev</t>
  </si>
  <si>
    <t>Kürten-Herweg</t>
  </si>
  <si>
    <t>DE</t>
  </si>
  <si>
    <t>Groningerstrasse</t>
  </si>
  <si>
    <t>LEER</t>
  </si>
  <si>
    <t>Im Schlangengarten</t>
  </si>
  <si>
    <t>Offenbach</t>
  </si>
  <si>
    <t>In der Wann</t>
  </si>
  <si>
    <t>Marburg</t>
  </si>
  <si>
    <t>Ladebleek</t>
  </si>
  <si>
    <t>GIESSEN</t>
  </si>
  <si>
    <t xml:space="preserve">Partida Madrigueres Sud </t>
  </si>
  <si>
    <t>B</t>
  </si>
  <si>
    <t>DENIA ALICANTE</t>
  </si>
  <si>
    <t>ES</t>
  </si>
  <si>
    <t xml:space="preserve">RUA DOS ALCREVES LOJA E LOTA </t>
  </si>
  <si>
    <t>POL. IND. DE VILAMOURA</t>
  </si>
  <si>
    <t>8125-493</t>
  </si>
  <si>
    <t>QUARTEIRA - ALGARVE</t>
  </si>
  <si>
    <t>Convent Street</t>
  </si>
  <si>
    <t>Arcadia Avenue</t>
  </si>
  <si>
    <t xml:space="preserve">24-26 </t>
  </si>
  <si>
    <t xml:space="preserve">N3 2JU </t>
  </si>
  <si>
    <t>London</t>
  </si>
  <si>
    <t>GB</t>
  </si>
  <si>
    <t>Hawthorn Road, Western Industrial Estate, Naas Road</t>
  </si>
  <si>
    <t xml:space="preserve">30-60 </t>
  </si>
  <si>
    <t>Dublin</t>
  </si>
  <si>
    <t>IE</t>
  </si>
  <si>
    <t>Sutton Court Road</t>
  </si>
  <si>
    <t xml:space="preserve">W4 4NJ </t>
  </si>
  <si>
    <t>Chiswick</t>
  </si>
  <si>
    <t>HIGH ROAD</t>
  </si>
  <si>
    <t xml:space="preserve">61-63 </t>
  </si>
  <si>
    <t xml:space="preserve">N2 8AB </t>
  </si>
  <si>
    <t>Parklands</t>
  </si>
  <si>
    <t xml:space="preserve">IG7 6LW </t>
  </si>
  <si>
    <t>Chigwell</t>
  </si>
  <si>
    <t>BRIDGE ROAD, HORBURY BRIDGE</t>
  </si>
  <si>
    <t xml:space="preserve">WF4 5NW </t>
  </si>
  <si>
    <t>WAKEFIELD</t>
  </si>
  <si>
    <t xml:space="preserve">Hurksestraat </t>
  </si>
  <si>
    <t xml:space="preserve">5652 AL </t>
  </si>
  <si>
    <t>Eindhoven</t>
  </si>
  <si>
    <t>LOWER SANDHURST, RIDGEDALE HOUSE</t>
  </si>
  <si>
    <t xml:space="preserve">RG40 3TH </t>
  </si>
  <si>
    <t>FINCHAMPSTEAD, BERKSHIRE</t>
  </si>
  <si>
    <t>Main Street, Craughwell</t>
  </si>
  <si>
    <t xml:space="preserve">H91 C8DK </t>
  </si>
  <si>
    <t>Galway</t>
  </si>
  <si>
    <t>Maxted Road</t>
  </si>
  <si>
    <t xml:space="preserve">HP2 7BT </t>
  </si>
  <si>
    <t>Hemel Hempstead</t>
  </si>
  <si>
    <t>Stone Hill Road</t>
  </si>
  <si>
    <t xml:space="preserve">BL4 9TN </t>
  </si>
  <si>
    <t>BOLTON</t>
  </si>
  <si>
    <t>Upper rock street</t>
  </si>
  <si>
    <t>TRALEE</t>
  </si>
  <si>
    <t xml:space="preserve"> Çekmeköy - ISTANBUL</t>
  </si>
  <si>
    <t>rue Guy de Place</t>
  </si>
  <si>
    <t>VIEUX THANN</t>
  </si>
  <si>
    <t>TR</t>
  </si>
  <si>
    <t>FR</t>
  </si>
  <si>
    <t>Agertoften</t>
  </si>
  <si>
    <t>Langeskov</t>
  </si>
  <si>
    <t>DK</t>
  </si>
  <si>
    <t>Apalveien</t>
  </si>
  <si>
    <t>Geithus</t>
  </si>
  <si>
    <t>Erlenteich</t>
  </si>
  <si>
    <t>Elsfleth</t>
  </si>
  <si>
    <t>NO</t>
  </si>
  <si>
    <t>Kampan Center – Via J.Durst</t>
  </si>
  <si>
    <t>Bressanone (BZ)</t>
  </si>
  <si>
    <t>IT</t>
  </si>
  <si>
    <t>San Bert street</t>
  </si>
  <si>
    <t>MT</t>
  </si>
  <si>
    <t>rue françois coli</t>
  </si>
  <si>
    <t>Blanquefort</t>
  </si>
  <si>
    <t>Koningsweg</t>
  </si>
  <si>
    <t xml:space="preserve">3762 EC </t>
  </si>
  <si>
    <t>Hüttenstraße</t>
  </si>
  <si>
    <t>Komenského</t>
  </si>
  <si>
    <t>742 01</t>
  </si>
  <si>
    <t>Suchdol nad Odrou</t>
  </si>
  <si>
    <t>CZ</t>
  </si>
  <si>
    <t>Staktoften</t>
  </si>
  <si>
    <t>D</t>
  </si>
  <si>
    <t>Vedbæk</t>
  </si>
  <si>
    <t>Teglvænget</t>
  </si>
  <si>
    <t>Herning</t>
  </si>
  <si>
    <t xml:space="preserve">Via Breda </t>
  </si>
  <si>
    <t>MONTICELLI D’ONGINA (PC)</t>
  </si>
  <si>
    <t>Via De Gasperi 11/N</t>
  </si>
  <si>
    <t>N</t>
  </si>
  <si>
    <t>COLLEBEATO (BS)</t>
  </si>
  <si>
    <t xml:space="preserve">VIA G. PASTORE </t>
  </si>
  <si>
    <t>54/56</t>
  </si>
  <si>
    <t>VITTORIO VENETO – TV</t>
  </si>
  <si>
    <t>Am werk</t>
  </si>
  <si>
    <t>Am Wildwechsel</t>
  </si>
  <si>
    <t>Lingen</t>
  </si>
  <si>
    <t xml:space="preserve">Bergstr. </t>
  </si>
  <si>
    <t>Grenzach -Wyhlen</t>
  </si>
  <si>
    <t>Bergstraße</t>
  </si>
  <si>
    <t>Neu-Ulm</t>
  </si>
  <si>
    <t>Bietsorfer Weg</t>
  </si>
  <si>
    <t>Malchow</t>
  </si>
  <si>
    <t>Böhmischer Weg</t>
  </si>
  <si>
    <t>Dohna</t>
  </si>
  <si>
    <t>Buggenbeck</t>
  </si>
  <si>
    <t>Mülheim</t>
  </si>
  <si>
    <t>burgplatz</t>
  </si>
  <si>
    <t>Burgplatz</t>
  </si>
  <si>
    <t>D.-W.-Beck-Str.</t>
  </si>
  <si>
    <t>Döbeln</t>
  </si>
  <si>
    <t>Detlef Drawert / Str.</t>
  </si>
  <si>
    <t>Nr. 8</t>
  </si>
  <si>
    <t>Berlin</t>
  </si>
  <si>
    <t xml:space="preserve">Erlenweg </t>
  </si>
  <si>
    <t>Sigmaringen</t>
  </si>
  <si>
    <t>Georg-Mehrtens-Straße</t>
  </si>
  <si>
    <t xml:space="preserve">Heierberg </t>
  </si>
  <si>
    <t>Hattingen</t>
  </si>
  <si>
    <t>Kleiststraße</t>
  </si>
  <si>
    <t>Neuss</t>
  </si>
  <si>
    <t xml:space="preserve">Langacker </t>
  </si>
  <si>
    <t>Schenefeld</t>
  </si>
  <si>
    <t xml:space="preserve">Lerchenstrasse </t>
  </si>
  <si>
    <t>Ochtrup</t>
  </si>
  <si>
    <t xml:space="preserve">Maria -Goeppert-Mayer-Straße </t>
  </si>
  <si>
    <t>Schleswig</t>
  </si>
  <si>
    <t xml:space="preserve">Oderberger Str. </t>
  </si>
  <si>
    <t xml:space="preserve">Ölixdorfer strasse </t>
  </si>
  <si>
    <t>Itzehoe</t>
  </si>
  <si>
    <t>Straße1  (Zufahrt über Perchtastraße</t>
  </si>
  <si>
    <t>Nr.8</t>
  </si>
  <si>
    <t xml:space="preserve">Taubenacker </t>
  </si>
  <si>
    <t>Meerbusch</t>
  </si>
  <si>
    <t xml:space="preserve">Weseler Str. </t>
  </si>
  <si>
    <t>Duisburg</t>
  </si>
  <si>
    <t xml:space="preserve">Zimmerplatz </t>
  </si>
  <si>
    <t>Ebsdorfergrund</t>
  </si>
  <si>
    <t xml:space="preserve">Zur Alten Backerei </t>
  </si>
  <si>
    <t>Leipzig</t>
  </si>
  <si>
    <t xml:space="preserve">Keizer Karelweg </t>
  </si>
  <si>
    <t xml:space="preserve">1185 HR </t>
  </si>
  <si>
    <t>AMstelveen</t>
  </si>
  <si>
    <t>5722 WT</t>
  </si>
  <si>
    <t xml:space="preserve">Kaldenkerkerweg </t>
  </si>
  <si>
    <t xml:space="preserve">5932 Da </t>
  </si>
  <si>
    <t>Tegelen</t>
  </si>
  <si>
    <t xml:space="preserve">Smalgoorn </t>
  </si>
  <si>
    <t xml:space="preserve">9403 NW </t>
  </si>
  <si>
    <t>Assen</t>
  </si>
  <si>
    <t xml:space="preserve">Gijsbrecht van Amstelstraat </t>
  </si>
  <si>
    <t xml:space="preserve">1216 CA </t>
  </si>
  <si>
    <t>Hilversum</t>
  </si>
  <si>
    <t xml:space="preserve">Koekoeksbleom </t>
  </si>
  <si>
    <t xml:space="preserve">4823 CG </t>
  </si>
  <si>
    <t>Breda</t>
  </si>
  <si>
    <t xml:space="preserve">Daimlerstraße </t>
  </si>
  <si>
    <t>Nattheim</t>
  </si>
  <si>
    <t xml:space="preserve">Ecustraat </t>
  </si>
  <si>
    <t xml:space="preserve">4879 NP </t>
  </si>
  <si>
    <t>Etten-Leur</t>
  </si>
  <si>
    <t xml:space="preserve">Nachtegaallaan </t>
  </si>
  <si>
    <t>Meer</t>
  </si>
  <si>
    <t xml:space="preserve">Spoorsingel </t>
  </si>
  <si>
    <t xml:space="preserve">3134 XR </t>
  </si>
  <si>
    <t>Vlaardingen</t>
  </si>
  <si>
    <t xml:space="preserve">Stuwdam </t>
  </si>
  <si>
    <t xml:space="preserve">3815 KM </t>
  </si>
  <si>
    <t>Amersfoort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</si>
</sst>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indexed="8"/>
      <name val="ARIAL"/>
      <charset val="1"/>
    </font>
    <font>
      <sz val="10"/>
      <name val="Arial"/>
      <charset val="1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>
      <alignment vertical="top"/>
    </xf>
    <xf numFmtId="0" fontId="5" fillId="0" borderId="0">
      <alignment vertical="top"/>
    </xf>
  </cellStyleXfs>
  <cellXfs count="270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2" borderId="3" xfId="0" applyFill="1" applyBorder="1"/>
    <xf numFmtId="0" fontId="0" fillId="0" borderId="3" xfId="0" applyBorder="1"/>
    <xf numFmtId="0" fontId="0" fillId="2" borderId="2" xfId="0" applyFill="1" applyBorder="1"/>
    <xf numFmtId="0" fontId="0" fillId="0" borderId="2" xfId="0" applyBorder="1"/>
    <xf numFmtId="0" fontId="1" fillId="0" borderId="3" xfId="0" applyFont="1" applyBorder="1"/>
    <xf numFmtId="0" fontId="1" fillId="2" borderId="3" xfId="0" applyFont="1" applyFill="1" applyBorder="1"/>
    <xf numFmtId="0" fontId="0" fillId="3" borderId="0" xfId="0" applyFill="1"/>
    <xf numFmtId="0" fontId="0" fillId="3" borderId="1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0" xfId="0" applyFill="1"/>
    <xf numFmtId="0" fontId="0" fillId="0" borderId="0" xfId="0" applyNumberFormat="1"/>
    <xf numFmtId="0" fontId="3" fillId="0" borderId="0" xfId="1">
      <alignment vertical="top"/>
    </xf>
    <xf numFmtId="0" fontId="4" fillId="0" borderId="0" xfId="0" applyFont="1"/>
    <xf numFmtId="0" fontId="5" fillId="0" borderId="0" xfId="2">
      <alignment vertical="top"/>
    </xf>
    <xf numFmtId="0" fontId="5" fillId="0" borderId="0" xfId="2" applyFill="1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0" fillId="0" borderId="0" xfId="0"/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0" fillId="0" borderId="0" xfId="0"/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49" fontId="0" fillId="0" borderId="0" xfId="0" applyNumberFormat="1"/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3" fillId="0" borderId="0" xfId="1" applyFill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3" fillId="0" borderId="0" xfId="1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  <xf numFmtId="0" fontId="5" fillId="0" borderId="0" xfId="2">
      <alignment vertical="top"/>
    </xf>
  </cellXfs>
  <cellStyles count="3">
    <cellStyle name="Normal" xfId="0" builtinId="0"/>
    <cellStyle name="Normal 2" xfId="1" xr:uid="{4773ABD4-4DAE-40CD-94D5-D1EC27BBF0CD}"/>
    <cellStyle name="Normal 3" xfId="2" xr:uid="{37807CF2-4C5D-4704-A664-B9BBC7A4E0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s/Code/GitHub/Thermocet/outpu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ad1"/>
    </sheetNames>
    <sheetDataSet>
      <sheetData sheetId="0">
        <row r="5">
          <cell r="A5" t="str">
            <v>Van Wijnen Recreatiebouw</v>
          </cell>
          <cell r="B5" t="str">
            <v>Visbystraat</v>
          </cell>
          <cell r="C5" t="str">
            <v>5</v>
          </cell>
          <cell r="E5" t="str">
            <v>7418 BE</v>
          </cell>
          <cell r="F5" t="str">
            <v>Deventer</v>
          </cell>
          <cell r="G5" t="str">
            <v>NL</v>
          </cell>
        </row>
        <row r="6">
          <cell r="A6" t="str">
            <v>RAAB KARCHER HILVERSUM (NOORD)</v>
          </cell>
          <cell r="B6" t="str">
            <v>Nieuwe Havenweg</v>
          </cell>
          <cell r="C6" t="str">
            <v>7-13</v>
          </cell>
          <cell r="E6" t="str">
            <v>1216 BG</v>
          </cell>
          <cell r="F6" t="str">
            <v>Hilversum</v>
          </cell>
          <cell r="G6" t="str">
            <v>NL</v>
          </cell>
        </row>
        <row r="7">
          <cell r="A7" t="str">
            <v>BOUWCENTER Floris veris</v>
          </cell>
          <cell r="B7" t="str">
            <v>VLASBLOMWEG</v>
          </cell>
          <cell r="C7" t="str">
            <v>24</v>
          </cell>
          <cell r="E7" t="str">
            <v>1521 PW</v>
          </cell>
          <cell r="F7" t="str">
            <v>Wormerveer</v>
          </cell>
          <cell r="G7" t="str">
            <v>NL</v>
          </cell>
        </row>
        <row r="8">
          <cell r="A8" t="str">
            <v>Landal Coldenhove</v>
          </cell>
          <cell r="B8" t="str">
            <v>Boshoffweg</v>
          </cell>
          <cell r="C8" t="str">
            <v>6</v>
          </cell>
          <cell r="E8" t="str">
            <v>6961 LD</v>
          </cell>
          <cell r="F8" t="str">
            <v>Eerbeek</v>
          </cell>
          <cell r="G8" t="str">
            <v>NL</v>
          </cell>
        </row>
        <row r="9">
          <cell r="A9" t="str">
            <v>BMN HARDERWIJK (CRH)N</v>
          </cell>
          <cell r="B9" t="str">
            <v>LORENZSTRAAT</v>
          </cell>
          <cell r="C9" t="str">
            <v>13</v>
          </cell>
          <cell r="E9" t="str">
            <v>3846 AV</v>
          </cell>
          <cell r="F9" t="str">
            <v>Harderwijk</v>
          </cell>
          <cell r="G9" t="str">
            <v>NL</v>
          </cell>
        </row>
        <row r="10">
          <cell r="A10" t="str">
            <v>CpSp België NV Erperheide</v>
          </cell>
          <cell r="B10" t="str">
            <v>Erperheidestraat</v>
          </cell>
          <cell r="C10" t="str">
            <v>2</v>
          </cell>
          <cell r="E10" t="str">
            <v>B 3990</v>
          </cell>
          <cell r="F10" t="str">
            <v>PEER    BELGIE</v>
          </cell>
          <cell r="G10" t="str">
            <v>BE</v>
          </cell>
        </row>
        <row r="11">
          <cell r="A11" t="str">
            <v>Vuur en Klank Haarden en Audio</v>
          </cell>
          <cell r="B11" t="str">
            <v>Hofweg</v>
          </cell>
          <cell r="C11" t="str">
            <v>10</v>
          </cell>
          <cell r="E11" t="str">
            <v>3208 LE</v>
          </cell>
          <cell r="F11" t="str">
            <v>Spijkenisse</v>
          </cell>
          <cell r="G11" t="str">
            <v>NL</v>
          </cell>
        </row>
        <row r="12">
          <cell r="A12" t="str">
            <v>Bouwcenter Nobel Lochem</v>
          </cell>
          <cell r="B12" t="str">
            <v>AALSVOORT</v>
          </cell>
          <cell r="C12" t="str">
            <v>16</v>
          </cell>
          <cell r="E12" t="str">
            <v>7241 MA</v>
          </cell>
          <cell r="F12" t="str">
            <v>LOCHEM</v>
          </cell>
          <cell r="G12" t="str">
            <v>NL</v>
          </cell>
        </row>
        <row r="13">
          <cell r="A13" t="str">
            <v>BouwCenter Goedhart</v>
          </cell>
          <cell r="B13" t="str">
            <v>TANKVAL</v>
          </cell>
          <cell r="C13" t="str">
            <v>23</v>
          </cell>
          <cell r="E13" t="str">
            <v>2408 ZC</v>
          </cell>
          <cell r="F13" t="str">
            <v>Alphen aan den Rijn</v>
          </cell>
          <cell r="G13" t="str">
            <v>NL</v>
          </cell>
        </row>
        <row r="14">
          <cell r="A14" t="str">
            <v>STIHO ALKMAAR veris</v>
          </cell>
          <cell r="B14" t="str">
            <v>Postbus</v>
          </cell>
          <cell r="C14" t="str">
            <v>1039</v>
          </cell>
          <cell r="E14" t="str">
            <v>1810 KA</v>
          </cell>
          <cell r="F14" t="str">
            <v>ALKMAAR</v>
          </cell>
          <cell r="G14" t="str">
            <v>NL</v>
          </cell>
        </row>
        <row r="15">
          <cell r="A15" t="str">
            <v>BOUWMATERIALEN JOS ARIES VOF</v>
          </cell>
          <cell r="B15" t="str">
            <v>Postbus</v>
          </cell>
          <cell r="C15" t="str">
            <v>63</v>
          </cell>
          <cell r="E15" t="str">
            <v>6900 AB</v>
          </cell>
          <cell r="F15" t="str">
            <v>ZEVENAAR</v>
          </cell>
          <cell r="G15" t="str">
            <v>NL</v>
          </cell>
        </row>
        <row r="16">
          <cell r="A16" t="str">
            <v>BADHOEVESE BMH</v>
          </cell>
          <cell r="B16" t="str">
            <v>Akerdijk</v>
          </cell>
          <cell r="C16" t="str">
            <v>232</v>
          </cell>
          <cell r="E16" t="str">
            <v>1171 RA</v>
          </cell>
          <cell r="F16" t="str">
            <v>BADHOEVEDORP</v>
          </cell>
          <cell r="G16" t="str">
            <v>NL</v>
          </cell>
        </row>
        <row r="17">
          <cell r="A17" t="str">
            <v>Landal Lommerbergen</v>
          </cell>
          <cell r="B17" t="str">
            <v>LOMMERBERGEN</v>
          </cell>
          <cell r="C17" t="str">
            <v>1</v>
          </cell>
          <cell r="E17" t="str">
            <v>5953 TT</v>
          </cell>
          <cell r="F17" t="str">
            <v>Reuver</v>
          </cell>
          <cell r="G17" t="str">
            <v>NL</v>
          </cell>
        </row>
        <row r="18">
          <cell r="A18" t="str">
            <v>BMN HOORN (CRH)W</v>
          </cell>
          <cell r="B18" t="str">
            <v>SCHELPHOEK</v>
          </cell>
          <cell r="C18" t="str">
            <v>2</v>
          </cell>
          <cell r="E18" t="str">
            <v>1621 MK</v>
          </cell>
          <cell r="F18" t="str">
            <v>Hoorn NH</v>
          </cell>
          <cell r="G18" t="str">
            <v>NL</v>
          </cell>
        </row>
        <row r="19">
          <cell r="A19" t="str">
            <v>DE BEDIJKING BMH</v>
          </cell>
          <cell r="B19" t="str">
            <v>INDUSTRIEWEG</v>
          </cell>
          <cell r="C19" t="str">
            <v>63</v>
          </cell>
          <cell r="E19" t="str">
            <v>3641 RK</v>
          </cell>
          <cell r="F19" t="str">
            <v>MIJDRECHT</v>
          </cell>
          <cell r="G19" t="str">
            <v>NL</v>
          </cell>
        </row>
        <row r="20">
          <cell r="A20" t="str">
            <v>Bos Haarden &amp;  Kachels  Vof</v>
          </cell>
          <cell r="B20" t="str">
            <v>WAALSEWEG</v>
          </cell>
          <cell r="C20" t="str">
            <v>28</v>
          </cell>
          <cell r="E20" t="str">
            <v>3999 NS</v>
          </cell>
          <cell r="F20" t="str">
            <v>TULL EN 'T WAAL</v>
          </cell>
          <cell r="G20" t="str">
            <v>NL</v>
          </cell>
        </row>
        <row r="21">
          <cell r="A21" t="str">
            <v>BMN HEEMSTEDE (CRH)W</v>
          </cell>
          <cell r="B21" t="str">
            <v>BENNEBROEKERDIJK</v>
          </cell>
          <cell r="C21" t="str">
            <v>244</v>
          </cell>
          <cell r="E21" t="str">
            <v>2142 LE</v>
          </cell>
          <cell r="F21" t="str">
            <v>Cruquius</v>
          </cell>
          <cell r="G21" t="str">
            <v>NL</v>
          </cell>
        </row>
        <row r="22">
          <cell r="A22" t="str">
            <v>Bouwcenter Concordia.</v>
          </cell>
          <cell r="B22" t="str">
            <v>POSTBUS</v>
          </cell>
          <cell r="C22" t="str">
            <v>1002</v>
          </cell>
          <cell r="E22" t="str">
            <v>7940 KA</v>
          </cell>
          <cell r="F22" t="str">
            <v>MEPPEL</v>
          </cell>
          <cell r="G22" t="str">
            <v>NL</v>
          </cell>
        </row>
        <row r="23">
          <cell r="A23" t="str">
            <v>BOUWCENTER DIJKSTRA  veris</v>
          </cell>
          <cell r="B23" t="str">
            <v>DYNAMOSTRAAT</v>
          </cell>
          <cell r="C23" t="str">
            <v>15</v>
          </cell>
          <cell r="E23" t="str">
            <v>2525 KB</v>
          </cell>
          <cell r="F23" t="str">
            <v>DEN HAAG</v>
          </cell>
          <cell r="G23" t="str">
            <v>NL</v>
          </cell>
        </row>
        <row r="24">
          <cell r="A24" t="str">
            <v>G.B. van Echtelt &amp; Zoon B.V.</v>
          </cell>
          <cell r="B24" t="str">
            <v>SMALLEWEG</v>
          </cell>
          <cell r="C24" t="str">
            <v>25</v>
          </cell>
          <cell r="E24" t="str">
            <v>3981 EE</v>
          </cell>
          <cell r="F24" t="str">
            <v>Bunnik</v>
          </cell>
          <cell r="G24" t="str">
            <v>NL</v>
          </cell>
        </row>
        <row r="25">
          <cell r="A25" t="str">
            <v>BMN DEN HAAG (CRH)W</v>
          </cell>
          <cell r="B25" t="str">
            <v>LULOFSTRAAT</v>
          </cell>
          <cell r="C25" t="str">
            <v>20-24</v>
          </cell>
          <cell r="E25" t="str">
            <v>2521 AM</v>
          </cell>
          <cell r="F25" t="str">
            <v>s-Gravenhage</v>
          </cell>
          <cell r="G25" t="str">
            <v>NL</v>
          </cell>
        </row>
        <row r="26">
          <cell r="A26" t="str">
            <v>RAAB KARCHER ESHUIS</v>
          </cell>
          <cell r="B26" t="str">
            <v>OOSTEINDE</v>
          </cell>
          <cell r="C26" t="str">
            <v>36</v>
          </cell>
          <cell r="E26" t="str">
            <v>7671 AA</v>
          </cell>
          <cell r="F26" t="str">
            <v>Vriezenveen</v>
          </cell>
          <cell r="G26" t="str">
            <v>NL</v>
          </cell>
        </row>
        <row r="27">
          <cell r="A27" t="str">
            <v>BOUWCENTER ESSELINK BM B.V. veris</v>
          </cell>
          <cell r="B27" t="str">
            <v>INDUSTRIEWEG</v>
          </cell>
          <cell r="C27" t="str">
            <v>35</v>
          </cell>
          <cell r="E27" t="str">
            <v>3241 MA</v>
          </cell>
          <cell r="F27" t="str">
            <v>Middelharnis</v>
          </cell>
          <cell r="G27" t="str">
            <v>NL</v>
          </cell>
        </row>
        <row r="28">
          <cell r="A28" t="str">
            <v>BMN SNEEK BV (CRH)N</v>
          </cell>
          <cell r="B28" t="str">
            <v>POSTBUS</v>
          </cell>
          <cell r="C28" t="str">
            <v>2</v>
          </cell>
          <cell r="E28" t="str">
            <v>8600 AA</v>
          </cell>
          <cell r="F28" t="str">
            <v>SNEEK</v>
          </cell>
          <cell r="G28" t="str">
            <v>NL</v>
          </cell>
        </row>
        <row r="29">
          <cell r="A29" t="str">
            <v>SNAIDERO CONCEPT STORE R.J.KEUKENS</v>
          </cell>
          <cell r="B29" t="str">
            <v>Nieuwstraat</v>
          </cell>
          <cell r="C29" t="str">
            <v>22</v>
          </cell>
          <cell r="E29" t="str">
            <v>4341 AS</v>
          </cell>
          <cell r="F29" t="str">
            <v>Arnemuiden</v>
          </cell>
          <cell r="G29" t="str">
            <v>NL</v>
          </cell>
        </row>
        <row r="30">
          <cell r="A30" t="str">
            <v>BMN AMSTERDAM (CRH)W</v>
          </cell>
          <cell r="B30" t="str">
            <v>VLOTHAVENWEG</v>
          </cell>
          <cell r="C30" t="str">
            <v>20</v>
          </cell>
          <cell r="E30" t="str">
            <v>1013 BJ</v>
          </cell>
          <cell r="F30" t="str">
            <v>Amsterdam</v>
          </cell>
          <cell r="G30" t="str">
            <v>NL</v>
          </cell>
        </row>
        <row r="31">
          <cell r="A31" t="str">
            <v>Comfort parket &amp; haarden</v>
          </cell>
          <cell r="B31" t="str">
            <v>Hoogheuvelstraat</v>
          </cell>
          <cell r="C31" t="str">
            <v>121</v>
          </cell>
          <cell r="E31" t="str">
            <v>5349 AM</v>
          </cell>
          <cell r="F31" t="str">
            <v>OSS</v>
          </cell>
          <cell r="G31" t="str">
            <v>NL</v>
          </cell>
        </row>
        <row r="32">
          <cell r="A32" t="str">
            <v>BMN FRANEKER  (CRH)N</v>
          </cell>
          <cell r="B32" t="str">
            <v>POSTBUS</v>
          </cell>
          <cell r="C32" t="str">
            <v>250</v>
          </cell>
          <cell r="E32" t="str">
            <v>8800 AG</v>
          </cell>
          <cell r="F32" t="str">
            <v>FRANEKER</v>
          </cell>
          <cell r="G32" t="str">
            <v>NL</v>
          </cell>
        </row>
        <row r="33">
          <cell r="A33" t="str">
            <v>Ter Harmsel  &amp; Zoon</v>
          </cell>
          <cell r="B33" t="str">
            <v>HAARSTRAAT</v>
          </cell>
          <cell r="C33" t="str">
            <v>66</v>
          </cell>
          <cell r="E33" t="str">
            <v>7462 AS</v>
          </cell>
          <cell r="F33" t="str">
            <v>RIJSSEN</v>
          </cell>
          <cell r="G33" t="str">
            <v>NL</v>
          </cell>
        </row>
        <row r="34">
          <cell r="A34" t="str">
            <v>Jos Harm B.V. Exclusieve Haarden</v>
          </cell>
          <cell r="B34" t="str">
            <v>J. van Hasseltweg</v>
          </cell>
          <cell r="C34" t="str">
            <v>45</v>
          </cell>
          <cell r="E34" t="str">
            <v>1021 KN</v>
          </cell>
          <cell r="F34" t="str">
            <v>AMSTERDAM</v>
          </cell>
          <cell r="G34" t="str">
            <v>NL</v>
          </cell>
        </row>
        <row r="35">
          <cell r="A35" t="str">
            <v>DE HEIDE SMID</v>
          </cell>
          <cell r="B35" t="str">
            <v>Halleheideweg</v>
          </cell>
          <cell r="C35" t="str">
            <v>16</v>
          </cell>
          <cell r="E35" t="str">
            <v>7025 CL</v>
          </cell>
          <cell r="F35" t="str">
            <v>HALLE</v>
          </cell>
          <cell r="G35" t="str">
            <v>NL</v>
          </cell>
        </row>
        <row r="36">
          <cell r="A36" t="str">
            <v>BOUWCENTER HCI BV veris</v>
          </cell>
          <cell r="B36" t="str">
            <v>Postbus</v>
          </cell>
          <cell r="C36" t="str">
            <v>27</v>
          </cell>
          <cell r="E36" t="str">
            <v>7255 ZG</v>
          </cell>
          <cell r="F36" t="str">
            <v>HENGELO (GLD)</v>
          </cell>
          <cell r="G36" t="str">
            <v>NL</v>
          </cell>
        </row>
        <row r="37">
          <cell r="A37" t="str">
            <v>BMN DRACHTEN (CRH)N</v>
          </cell>
          <cell r="B37" t="str">
            <v>TUSSENDIEPEN</v>
          </cell>
          <cell r="C37" t="str">
            <v>12</v>
          </cell>
          <cell r="E37" t="str">
            <v>9206 AD</v>
          </cell>
          <cell r="F37" t="str">
            <v>Drachten</v>
          </cell>
          <cell r="G37" t="str">
            <v>NL</v>
          </cell>
        </row>
        <row r="38">
          <cell r="A38" t="str">
            <v>Open Haarden Centrum Deurne</v>
          </cell>
          <cell r="B38" t="str">
            <v>Florijn</v>
          </cell>
          <cell r="C38" t="str">
            <v>5</v>
          </cell>
          <cell r="E38" t="str">
            <v>5751 PC</v>
          </cell>
          <cell r="F38" t="str">
            <v>Deurne</v>
          </cell>
          <cell r="G38" t="str">
            <v>NL</v>
          </cell>
        </row>
        <row r="39">
          <cell r="A39" t="str">
            <v>BOUWCENTER LOGUS - DE HOOP TERNEUZEN veris</v>
          </cell>
          <cell r="B39" t="str">
            <v>Kennedylaan</v>
          </cell>
          <cell r="C39" t="str">
            <v>32</v>
          </cell>
          <cell r="E39" t="str">
            <v>4538 AE</v>
          </cell>
          <cell r="F39" t="str">
            <v>Terneuzen</v>
          </cell>
          <cell r="G39" t="str">
            <v>NL</v>
          </cell>
        </row>
        <row r="40">
          <cell r="A40" t="str">
            <v>'t Kachelhuus van der Vlist V.O.F.</v>
          </cell>
          <cell r="B40" t="str">
            <v>GALVANISTRAAT</v>
          </cell>
          <cell r="C40" t="str">
            <v>20</v>
          </cell>
          <cell r="E40" t="str">
            <v>6716 AE</v>
          </cell>
          <cell r="F40" t="str">
            <v>EDE</v>
          </cell>
          <cell r="G40" t="str">
            <v>NL</v>
          </cell>
        </row>
        <row r="41">
          <cell r="A41" t="str">
            <v>Warmtestore B.V.</v>
          </cell>
          <cell r="B41" t="str">
            <v>Achterweg zuid</v>
          </cell>
          <cell r="C41" t="str">
            <v>76</v>
          </cell>
          <cell r="E41" t="str">
            <v>2161 DZ</v>
          </cell>
          <cell r="F41" t="str">
            <v>Lisse</v>
          </cell>
          <cell r="G41" t="str">
            <v>NL</v>
          </cell>
        </row>
        <row r="42">
          <cell r="A42" t="str">
            <v>STIHO HAARLEM veris</v>
          </cell>
          <cell r="B42" t="str">
            <v>POSTBUS</v>
          </cell>
          <cell r="C42" t="str">
            <v>1501</v>
          </cell>
          <cell r="E42" t="str">
            <v>2003 BN</v>
          </cell>
          <cell r="F42" t="str">
            <v>HAARLEM</v>
          </cell>
          <cell r="G42" t="str">
            <v>NL</v>
          </cell>
        </row>
        <row r="43">
          <cell r="A43" t="str">
            <v>STIHO BOUWPLEIN DEVENTER veris</v>
          </cell>
          <cell r="B43" t="str">
            <v>POSTBUS</v>
          </cell>
          <cell r="C43" t="str">
            <v>2100</v>
          </cell>
          <cell r="E43" t="str">
            <v>7420 AC</v>
          </cell>
          <cell r="F43" t="str">
            <v>DEVENTER</v>
          </cell>
          <cell r="G43" t="str">
            <v>NL</v>
          </cell>
        </row>
        <row r="44">
          <cell r="A44" t="str">
            <v>BOUWCENTER KOOLSCHIJN veris</v>
          </cell>
          <cell r="B44" t="str">
            <v>CYCLOTRONWEG</v>
          </cell>
          <cell r="C44" t="str">
            <v>3</v>
          </cell>
          <cell r="E44" t="str">
            <v>2629 HN</v>
          </cell>
          <cell r="F44" t="str">
            <v>Delft</v>
          </cell>
          <cell r="G44" t="str">
            <v>NL</v>
          </cell>
        </row>
        <row r="45">
          <cell r="A45" t="str">
            <v>Van Manen Huis en Haard BV</v>
          </cell>
          <cell r="B45" t="str">
            <v>DR. W. DREESLAAN</v>
          </cell>
          <cell r="C45" t="str">
            <v>2</v>
          </cell>
          <cell r="E45" t="str">
            <v>3771 RW</v>
          </cell>
          <cell r="F45" t="str">
            <v>BARNEVELD</v>
          </cell>
          <cell r="G45" t="str">
            <v>NL</v>
          </cell>
        </row>
        <row r="46">
          <cell r="A46" t="str">
            <v>Van Mazijk  Haarden &amp; Kachels</v>
          </cell>
          <cell r="B46" t="str">
            <v>Achterwetering</v>
          </cell>
          <cell r="C46" t="str">
            <v>10</v>
          </cell>
          <cell r="E46" t="str">
            <v>2871 RK</v>
          </cell>
          <cell r="F46" t="str">
            <v>Schoonhoven</v>
          </cell>
          <cell r="G46" t="str">
            <v>NL</v>
          </cell>
        </row>
        <row r="47">
          <cell r="A47" t="str">
            <v>Meppelink Haarden</v>
          </cell>
          <cell r="B47" t="str">
            <v>INDUSTRIEWEG</v>
          </cell>
          <cell r="C47" t="str">
            <v>9</v>
          </cell>
          <cell r="E47" t="str">
            <v>7903 AH</v>
          </cell>
          <cell r="F47" t="str">
            <v>Hoogeveen</v>
          </cell>
          <cell r="G47" t="str">
            <v>NL</v>
          </cell>
        </row>
        <row r="48">
          <cell r="A48" t="str">
            <v>Van de Merwe</v>
          </cell>
          <cell r="B48" t="str">
            <v>BURG. JASLAAN</v>
          </cell>
          <cell r="C48" t="str">
            <v>35</v>
          </cell>
          <cell r="E48" t="str">
            <v>3319 AB</v>
          </cell>
          <cell r="F48" t="str">
            <v>DORDRECHT</v>
          </cell>
          <cell r="G48" t="str">
            <v>NL</v>
          </cell>
        </row>
        <row r="49">
          <cell r="A49" t="str">
            <v>BMN HARDENBERG (CRH)N</v>
          </cell>
          <cell r="B49" t="str">
            <v>BRUCHTERWEG</v>
          </cell>
          <cell r="C49" t="str">
            <v>103</v>
          </cell>
          <cell r="E49" t="str">
            <v>7772 BK</v>
          </cell>
          <cell r="F49" t="str">
            <v>Hardenberg</v>
          </cell>
          <cell r="G49" t="str">
            <v>NL</v>
          </cell>
        </row>
        <row r="50">
          <cell r="A50" t="str">
            <v>RAAB KARCHER HILLEGOM (WEST)</v>
          </cell>
          <cell r="B50" t="str">
            <v>Arnoudstraat</v>
          </cell>
          <cell r="C50" t="str">
            <v>11</v>
          </cell>
          <cell r="E50" t="str">
            <v>2182 DZ</v>
          </cell>
          <cell r="F50" t="str">
            <v>Hillegom</v>
          </cell>
          <cell r="G50" t="str">
            <v>NL</v>
          </cell>
        </row>
        <row r="51">
          <cell r="A51" t="str">
            <v>BMN HAASTRECHT (CRH)Z</v>
          </cell>
          <cell r="B51" t="str">
            <v>PROVINCIALEWEG WEST</v>
          </cell>
          <cell r="C51" t="str">
            <v>60</v>
          </cell>
          <cell r="E51" t="str">
            <v>2851 EM</v>
          </cell>
          <cell r="F51" t="str">
            <v>Haastrecht</v>
          </cell>
          <cell r="G51" t="str">
            <v>NL</v>
          </cell>
        </row>
        <row r="52">
          <cell r="A52" t="str">
            <v>De Openhaarden &amp; Plavuizen specialist BV</v>
          </cell>
          <cell r="B52" t="str">
            <v>JOL</v>
          </cell>
          <cell r="C52" t="str">
            <v>11-17</v>
          </cell>
          <cell r="E52" t="str">
            <v>8243 ED</v>
          </cell>
          <cell r="F52" t="str">
            <v>LELYSTAD</v>
          </cell>
          <cell r="G52" t="str">
            <v>NL</v>
          </cell>
        </row>
        <row r="53">
          <cell r="A53" t="str">
            <v>Open Haarden Centrum B.V.</v>
          </cell>
          <cell r="B53" t="str">
            <v>OOSTHAVENKADE</v>
          </cell>
          <cell r="C53" t="str">
            <v>73</v>
          </cell>
          <cell r="E53" t="str">
            <v>3134 NX</v>
          </cell>
          <cell r="F53" t="str">
            <v>VLAARDINGEN</v>
          </cell>
          <cell r="G53" t="str">
            <v>NL</v>
          </cell>
        </row>
        <row r="54">
          <cell r="A54" t="str">
            <v>BOUWCENTER RAB OUDESCHILD veris</v>
          </cell>
          <cell r="B54" t="str">
            <v>Heemskerckstraat</v>
          </cell>
          <cell r="C54" t="str">
            <v>50</v>
          </cell>
          <cell r="E54" t="str">
            <v>1792 AC</v>
          </cell>
          <cell r="F54" t="str">
            <v>OUDESCHILD</v>
          </cell>
          <cell r="G54" t="str">
            <v>NL</v>
          </cell>
        </row>
        <row r="55">
          <cell r="A55" t="str">
            <v>Schoemaker &amp; zoon</v>
          </cell>
          <cell r="B55" t="str">
            <v>WESTEINDE</v>
          </cell>
          <cell r="C55" t="str">
            <v>106</v>
          </cell>
          <cell r="E55" t="str">
            <v>7711 CN</v>
          </cell>
          <cell r="F55" t="str">
            <v>Nieuwleusen</v>
          </cell>
          <cell r="G55" t="str">
            <v>NL</v>
          </cell>
        </row>
        <row r="56">
          <cell r="A56" t="str">
            <v>BMN ALKMAAR (CRH)</v>
          </cell>
          <cell r="B56" t="str">
            <v>Postbus</v>
          </cell>
          <cell r="C56" t="str">
            <v>33</v>
          </cell>
          <cell r="E56" t="str">
            <v>1800 AA</v>
          </cell>
          <cell r="F56" t="str">
            <v>ALKMAAR</v>
          </cell>
          <cell r="G56" t="str">
            <v>NL</v>
          </cell>
        </row>
        <row r="57">
          <cell r="A57" t="str">
            <v>Strating Openhaarden</v>
          </cell>
          <cell r="B57" t="str">
            <v>BRUG. LEGROWEG</v>
          </cell>
          <cell r="C57" t="str">
            <v>75</v>
          </cell>
          <cell r="E57" t="str">
            <v>9761 TB</v>
          </cell>
          <cell r="F57" t="str">
            <v>EELDE</v>
          </cell>
          <cell r="G57" t="str">
            <v>NL</v>
          </cell>
        </row>
        <row r="58">
          <cell r="A58" t="str">
            <v>BOUWCENTER SWINKELS veris</v>
          </cell>
          <cell r="B58" t="str">
            <v>POSTBUS</v>
          </cell>
          <cell r="C58" t="str">
            <v>13</v>
          </cell>
          <cell r="E58" t="str">
            <v>5737 ZG</v>
          </cell>
          <cell r="F58" t="str">
            <v>LIESHOUT</v>
          </cell>
          <cell r="G58" t="str">
            <v>NL</v>
          </cell>
        </row>
        <row r="59">
          <cell r="A59" t="str">
            <v>Tibas Openhaarden &amp; Kachels</v>
          </cell>
          <cell r="B59" t="str">
            <v>WETH. VENTEWEG</v>
          </cell>
          <cell r="C59" t="str">
            <v>171</v>
          </cell>
          <cell r="D59" t="str">
            <v>a</v>
          </cell>
          <cell r="E59" t="str">
            <v>2805 JN</v>
          </cell>
          <cell r="F59" t="str">
            <v>GOUDA</v>
          </cell>
          <cell r="G59" t="str">
            <v>NL</v>
          </cell>
        </row>
        <row r="60">
          <cell r="A60" t="str">
            <v>BMN GRONINGEN (CRH)N</v>
          </cell>
          <cell r="B60" t="str">
            <v>Postbus</v>
          </cell>
          <cell r="C60" t="str">
            <v>5075</v>
          </cell>
          <cell r="E60" t="str">
            <v>9700 GB</v>
          </cell>
          <cell r="F60" t="str">
            <v>GRONINGEN</v>
          </cell>
          <cell r="G60" t="str">
            <v>NL</v>
          </cell>
        </row>
        <row r="61">
          <cell r="A61" t="str">
            <v>BMN LEEUWARDEN (CRH)N</v>
          </cell>
          <cell r="B61" t="str">
            <v>Slauerhoffweg</v>
          </cell>
          <cell r="C61" t="str">
            <v>6</v>
          </cell>
          <cell r="E61" t="str">
            <v>8912 BH</v>
          </cell>
          <cell r="F61" t="str">
            <v>Leeuwarden</v>
          </cell>
          <cell r="G61" t="str">
            <v>NL</v>
          </cell>
        </row>
        <row r="62">
          <cell r="A62" t="str">
            <v>RAAB KARCHER WADDINXVEEN (WEST)</v>
          </cell>
          <cell r="B62" t="str">
            <v>Staringlaan</v>
          </cell>
          <cell r="C62" t="str">
            <v>8</v>
          </cell>
          <cell r="E62" t="str">
            <v>2741 GC</v>
          </cell>
          <cell r="F62" t="str">
            <v>Waddinxveen</v>
          </cell>
          <cell r="G62" t="str">
            <v>NL</v>
          </cell>
        </row>
        <row r="63">
          <cell r="A63" t="str">
            <v>BOUWCENTER RAB UTRECHT veris</v>
          </cell>
          <cell r="B63" t="str">
            <v>STRAWINSKYLAAN</v>
          </cell>
          <cell r="C63" t="str">
            <v>20</v>
          </cell>
          <cell r="E63" t="str">
            <v>3533 JB</v>
          </cell>
          <cell r="F63" t="str">
            <v>UTRECHT</v>
          </cell>
          <cell r="G63" t="str">
            <v>NL</v>
          </cell>
        </row>
        <row r="64">
          <cell r="A64" t="str">
            <v>BOUWCENTER FILIPPO OUDE WETERING veris</v>
          </cell>
          <cell r="B64" t="str">
            <v>Kerkstraat</v>
          </cell>
          <cell r="C64" t="str">
            <v>111</v>
          </cell>
          <cell r="E64" t="str">
            <v>2377 BB</v>
          </cell>
          <cell r="F64" t="str">
            <v>Oude Wetering</v>
          </cell>
          <cell r="G64" t="str">
            <v>NL</v>
          </cell>
        </row>
        <row r="65">
          <cell r="A65" t="str">
            <v>Bouwcenter RAB Alkmaar</v>
          </cell>
          <cell r="B65" t="str">
            <v>LAANENDERWEG</v>
          </cell>
          <cell r="C65" t="str">
            <v>39</v>
          </cell>
          <cell r="E65" t="str">
            <v>1812 PW</v>
          </cell>
          <cell r="F65" t="str">
            <v>ALKMAAR</v>
          </cell>
          <cell r="G65" t="str">
            <v>NL</v>
          </cell>
        </row>
        <row r="66">
          <cell r="A66" t="str">
            <v>STIHO DE ZEEUW POELDIJK B.V. veris</v>
          </cell>
          <cell r="B66" t="str">
            <v>SLACHTHUISKADE</v>
          </cell>
          <cell r="C66" t="str">
            <v>30</v>
          </cell>
          <cell r="D66" t="str">
            <v>A</v>
          </cell>
          <cell r="E66" t="str">
            <v>2685 LN</v>
          </cell>
          <cell r="F66" t="str">
            <v>Poeldijk</v>
          </cell>
          <cell r="G66" t="str">
            <v>NL</v>
          </cell>
        </row>
        <row r="67">
          <cell r="A67" t="str">
            <v>kachelspeciaalzaak Wichink Kruit B.V.</v>
          </cell>
          <cell r="B67" t="str">
            <v>JUTLANDSESTRAAT</v>
          </cell>
          <cell r="C67" t="str">
            <v>3</v>
          </cell>
          <cell r="E67" t="str">
            <v>7202 CB</v>
          </cell>
          <cell r="F67" t="str">
            <v>Zutphen</v>
          </cell>
          <cell r="G67" t="str">
            <v>NL</v>
          </cell>
        </row>
        <row r="68">
          <cell r="A68" t="str">
            <v>Match Vuur &amp; Interieur</v>
          </cell>
          <cell r="B68" t="str">
            <v>Boterbloem</v>
          </cell>
          <cell r="C68" t="str">
            <v>42</v>
          </cell>
          <cell r="E68" t="str">
            <v>5351MV Berghem</v>
          </cell>
          <cell r="G68" t="str">
            <v>NL</v>
          </cell>
        </row>
        <row r="69">
          <cell r="A69" t="str">
            <v>Center Parcs Netherlands N.V. - Port Zeelande</v>
          </cell>
          <cell r="B69" t="str">
            <v>PORT ZELANDE</v>
          </cell>
          <cell r="C69" t="str">
            <v>2</v>
          </cell>
          <cell r="E69" t="str">
            <v>3253 MG</v>
          </cell>
          <cell r="F69" t="str">
            <v>OUDDORP</v>
          </cell>
          <cell r="G69" t="str">
            <v>NL</v>
          </cell>
        </row>
        <row r="70">
          <cell r="A70" t="str">
            <v>Interschouw</v>
          </cell>
          <cell r="B70" t="str">
            <v>Oosteinderweg</v>
          </cell>
          <cell r="C70" t="str">
            <v>246</v>
          </cell>
          <cell r="D70" t="str">
            <v>a</v>
          </cell>
          <cell r="E70" t="str">
            <v>1432 BB</v>
          </cell>
          <cell r="F70" t="str">
            <v>AALSMEER</v>
          </cell>
          <cell r="G70" t="str">
            <v>NL</v>
          </cell>
        </row>
        <row r="71">
          <cell r="A71" t="str">
            <v>NV.  A.ZWENNES</v>
          </cell>
          <cell r="B71" t="str">
            <v>POSTBUS</v>
          </cell>
          <cell r="C71" t="str">
            <v>18752</v>
          </cell>
          <cell r="E71" t="str">
            <v>2502 ET</v>
          </cell>
          <cell r="F71" t="str">
            <v>DEN HAAG</v>
          </cell>
          <cell r="G71" t="str">
            <v>NL</v>
          </cell>
        </row>
        <row r="72">
          <cell r="A72" t="str">
            <v>Warmtestore Mijdrecht</v>
          </cell>
          <cell r="B72" t="str">
            <v>Butaanstraat</v>
          </cell>
          <cell r="C72" t="str">
            <v>12</v>
          </cell>
          <cell r="E72" t="str">
            <v>7463PG Rijssen</v>
          </cell>
          <cell r="G72" t="str">
            <v>NL</v>
          </cell>
        </row>
        <row r="73">
          <cell r="A73" t="str">
            <v>Bouwcenter Filippo</v>
          </cell>
          <cell r="B73" t="str">
            <v>NIEUW KADE</v>
          </cell>
          <cell r="C73" t="str">
            <v>25</v>
          </cell>
          <cell r="E73" t="str">
            <v>1948 NJ</v>
          </cell>
          <cell r="F73" t="str">
            <v>BEVERWIJK</v>
          </cell>
          <cell r="G73" t="str">
            <v>NL</v>
          </cell>
        </row>
        <row r="74">
          <cell r="A74" t="str">
            <v>BOUWCENTER CONCORDIA HOOGEVEEN veris</v>
          </cell>
          <cell r="B74" t="str">
            <v>Stephensonstraat</v>
          </cell>
          <cell r="C74" t="str">
            <v>39</v>
          </cell>
          <cell r="E74" t="str">
            <v>7903 AS</v>
          </cell>
          <cell r="F74" t="str">
            <v>HOOGEVEEN</v>
          </cell>
          <cell r="G74" t="str">
            <v>NL</v>
          </cell>
        </row>
        <row r="75">
          <cell r="A75" t="str">
            <v>CP NETHERLANDS NV HUTTENHEUGTE</v>
          </cell>
          <cell r="B75" t="str">
            <v>POSTBUS</v>
          </cell>
          <cell r="C75" t="str">
            <v>77</v>
          </cell>
          <cell r="E75" t="str">
            <v>7740 AB</v>
          </cell>
          <cell r="F75" t="str">
            <v>COEVORDEN</v>
          </cell>
          <cell r="G75" t="str">
            <v>NL</v>
          </cell>
        </row>
        <row r="76">
          <cell r="A76" t="str">
            <v>Landal Het Vennenbos</v>
          </cell>
          <cell r="B76" t="str">
            <v>SCHOUWBERG</v>
          </cell>
          <cell r="C76" t="str">
            <v>7</v>
          </cell>
          <cell r="E76" t="str">
            <v>5527 JH</v>
          </cell>
          <cell r="F76" t="str">
            <v>Hapert</v>
          </cell>
          <cell r="G76" t="str">
            <v>NL</v>
          </cell>
        </row>
        <row r="77">
          <cell r="A77" t="str">
            <v>Center Parcs Netherlands N.V. - Meerdal</v>
          </cell>
          <cell r="B77" t="str">
            <v>LAAGHEIDEWEG</v>
          </cell>
          <cell r="C77" t="str">
            <v>11</v>
          </cell>
          <cell r="E77" t="str">
            <v>5966 PL</v>
          </cell>
          <cell r="F77" t="str">
            <v>AMERICA (HORST)</v>
          </cell>
          <cell r="G77" t="str">
            <v>NL</v>
          </cell>
        </row>
        <row r="78">
          <cell r="A78" t="str">
            <v>CP NETHERLANDS NV HEIJDERBOS</v>
          </cell>
          <cell r="B78" t="str">
            <v>HOMMERSUMSEWEG</v>
          </cell>
          <cell r="C78" t="str">
            <v>43</v>
          </cell>
          <cell r="E78" t="str">
            <v>6508 MC</v>
          </cell>
          <cell r="F78" t="str">
            <v>HEYEN</v>
          </cell>
          <cell r="G78" t="str">
            <v>NL</v>
          </cell>
        </row>
        <row r="79">
          <cell r="A79" t="str">
            <v>Center Parcs Netherlands N.V. - Kempervennen</v>
          </cell>
          <cell r="B79" t="str">
            <v>KEMPERVENNENDREEF</v>
          </cell>
          <cell r="C79" t="str">
            <v>8</v>
          </cell>
          <cell r="E79" t="str">
            <v>5563 VB</v>
          </cell>
          <cell r="F79" t="str">
            <v>WESTERHOVEN</v>
          </cell>
          <cell r="G79" t="str">
            <v>NL</v>
          </cell>
        </row>
        <row r="80">
          <cell r="A80" t="str">
            <v>BMN ZWOLLE (CRH)N</v>
          </cell>
          <cell r="B80" t="str">
            <v>Lichterweg</v>
          </cell>
          <cell r="C80" t="str">
            <v>1</v>
          </cell>
          <cell r="E80" t="str">
            <v>8042 PW</v>
          </cell>
          <cell r="F80" t="str">
            <v>Zwolle</v>
          </cell>
          <cell r="G80" t="str">
            <v>NL</v>
          </cell>
        </row>
        <row r="81">
          <cell r="A81" t="str">
            <v>Nuovo Antico B.V.</v>
          </cell>
          <cell r="B81" t="str">
            <v>Ondernemingsweg</v>
          </cell>
          <cell r="C81" t="str">
            <v>5</v>
          </cell>
          <cell r="E81" t="str">
            <v>2404 HM</v>
          </cell>
          <cell r="F81" t="str">
            <v>Alphen aan den Rijn</v>
          </cell>
          <cell r="G81" t="str">
            <v>NL</v>
          </cell>
        </row>
        <row r="82">
          <cell r="A82" t="str">
            <v>BMN WOERDEN B.V. (CRH)Z</v>
          </cell>
          <cell r="B82" t="str">
            <v>Pannebakkerijen</v>
          </cell>
          <cell r="C82" t="str">
            <v>41</v>
          </cell>
          <cell r="E82" t="str">
            <v>3443 CA</v>
          </cell>
          <cell r="F82" t="str">
            <v>Woerden</v>
          </cell>
          <cell r="G82" t="str">
            <v>NL</v>
          </cell>
        </row>
        <row r="83">
          <cell r="A83" t="str">
            <v>BOUWCENTER CENTEN veris</v>
          </cell>
          <cell r="B83" t="str">
            <v>Bus</v>
          </cell>
          <cell r="C83" t="str">
            <v>3</v>
          </cell>
          <cell r="E83" t="str">
            <v>5446 NB</v>
          </cell>
          <cell r="F83" t="str">
            <v>WANROIJ</v>
          </cell>
          <cell r="G83" t="str">
            <v>NL</v>
          </cell>
        </row>
        <row r="84">
          <cell r="A84" t="str">
            <v>Landal Sluftervallei</v>
          </cell>
          <cell r="B84" t="str">
            <v>Krimweg</v>
          </cell>
          <cell r="C84" t="str">
            <v>102</v>
          </cell>
          <cell r="E84" t="str">
            <v>1795 LS</v>
          </cell>
          <cell r="F84" t="str">
            <v>DE COCKSDORP TEXEL</v>
          </cell>
          <cell r="G84" t="str">
            <v>NL</v>
          </cell>
        </row>
        <row r="85">
          <cell r="A85" t="str">
            <v>Landal Hoog Vaals</v>
          </cell>
          <cell r="B85" t="str">
            <v>RANDWEG</v>
          </cell>
          <cell r="C85" t="str">
            <v>21</v>
          </cell>
          <cell r="E85" t="str">
            <v>6291 DC</v>
          </cell>
          <cell r="F85" t="str">
            <v>VAALS</v>
          </cell>
          <cell r="G85" t="str">
            <v>NL</v>
          </cell>
        </row>
        <row r="86">
          <cell r="A86" t="str">
            <v>BOUWCENTER CONCORDIA OOSTERWOLDE veris</v>
          </cell>
          <cell r="B86" t="str">
            <v>Venekoterweg</v>
          </cell>
          <cell r="C86" t="str">
            <v>19</v>
          </cell>
          <cell r="E86" t="str">
            <v>8431 HG</v>
          </cell>
          <cell r="F86" t="str">
            <v>Oosterwolde FR</v>
          </cell>
          <cell r="G86" t="str">
            <v>NL</v>
          </cell>
        </row>
        <row r="87">
          <cell r="A87" t="str">
            <v>Landal Rabbit Hill</v>
          </cell>
          <cell r="B87" t="str">
            <v>GREVENHOUT</v>
          </cell>
          <cell r="C87" t="str">
            <v>21</v>
          </cell>
          <cell r="E87" t="str">
            <v>3888 NR</v>
          </cell>
          <cell r="F87" t="str">
            <v>UDDEL</v>
          </cell>
          <cell r="G87" t="str">
            <v>NL</v>
          </cell>
        </row>
        <row r="88">
          <cell r="A88" t="str">
            <v>Holding G. Vermunt  Wagenberg B.V.</v>
          </cell>
          <cell r="B88" t="str">
            <v>THIJSSEWEG</v>
          </cell>
          <cell r="C88" t="str">
            <v>19</v>
          </cell>
          <cell r="D88" t="str">
            <v>A</v>
          </cell>
          <cell r="E88" t="str">
            <v>4845 PJ</v>
          </cell>
          <cell r="F88" t="str">
            <v>WAGENBERG</v>
          </cell>
          <cell r="G88" t="str">
            <v>NL</v>
          </cell>
        </row>
        <row r="89">
          <cell r="A89" t="str">
            <v>Kachelspeciaalzaak Bruggeman B.V.</v>
          </cell>
          <cell r="B89" t="str">
            <v>Raalterweg</v>
          </cell>
          <cell r="C89" t="str">
            <v>81</v>
          </cell>
          <cell r="D89" t="str">
            <v>e</v>
          </cell>
          <cell r="E89" t="str">
            <v>8124 AC</v>
          </cell>
          <cell r="F89" t="str">
            <v>Wesepe</v>
          </cell>
          <cell r="G89" t="str">
            <v>NL</v>
          </cell>
        </row>
        <row r="90">
          <cell r="A90" t="str">
            <v>Schouwspel B.V.</v>
          </cell>
          <cell r="B90" t="str">
            <v>LEIDSEVAART</v>
          </cell>
          <cell r="C90" t="str">
            <v>36</v>
          </cell>
          <cell r="E90" t="str">
            <v>2114 AD</v>
          </cell>
          <cell r="F90" t="str">
            <v>VOGELENZANG</v>
          </cell>
          <cell r="G90" t="str">
            <v>NL</v>
          </cell>
        </row>
        <row r="91">
          <cell r="A91" t="str">
            <v>Haardengoed B.V.</v>
          </cell>
          <cell r="B91" t="str">
            <v>Bezoem</v>
          </cell>
          <cell r="C91" t="str">
            <v>11 (</v>
          </cell>
          <cell r="D91" t="str">
            <v>laatste deur)</v>
          </cell>
          <cell r="E91" t="str">
            <v>4206 CA</v>
          </cell>
          <cell r="F91" t="str">
            <v>Gorinchem</v>
          </cell>
          <cell r="G91" t="str">
            <v>NL</v>
          </cell>
        </row>
        <row r="92">
          <cell r="A92" t="str">
            <v>Appelman Haarden Architektuur</v>
          </cell>
          <cell r="B92" t="str">
            <v>VERFMOLENSTRAAT</v>
          </cell>
          <cell r="C92" t="str">
            <v>40</v>
          </cell>
          <cell r="E92" t="str">
            <v>1333 AV</v>
          </cell>
          <cell r="F92" t="str">
            <v>ALMERE</v>
          </cell>
          <cell r="G92" t="str">
            <v>NL</v>
          </cell>
        </row>
        <row r="93">
          <cell r="A93" t="str">
            <v>BOUWCENTER RAB WASSENAAR veris</v>
          </cell>
          <cell r="B93" t="str">
            <v>Postbus</v>
          </cell>
          <cell r="C93" t="str">
            <v>476</v>
          </cell>
          <cell r="E93" t="str">
            <v>2240 AL</v>
          </cell>
          <cell r="F93" t="str">
            <v>WASSENAAR</v>
          </cell>
          <cell r="G93" t="str">
            <v>NL</v>
          </cell>
        </row>
        <row r="94">
          <cell r="A94" t="str">
            <v>Kachelhandel  Lubeko</v>
          </cell>
          <cell r="B94" t="str">
            <v>BEDRIJFSWEG</v>
          </cell>
          <cell r="C94" t="str">
            <v>9</v>
          </cell>
          <cell r="E94" t="str">
            <v>1785 AK</v>
          </cell>
          <cell r="F94" t="str">
            <v>Den Helder</v>
          </cell>
          <cell r="G94" t="str">
            <v>NL</v>
          </cell>
        </row>
        <row r="95">
          <cell r="A95" t="str">
            <v>Landal Twenhaarsveld</v>
          </cell>
          <cell r="B95" t="str">
            <v>Landuwerweg</v>
          </cell>
          <cell r="C95" t="str">
            <v>17</v>
          </cell>
          <cell r="E95" t="str">
            <v>7451 SP</v>
          </cell>
          <cell r="F95" t="str">
            <v>HOLTEN</v>
          </cell>
          <cell r="G95" t="str">
            <v>NL</v>
          </cell>
        </row>
        <row r="96">
          <cell r="A96" t="str">
            <v>Mulder Haarden &amp; Kachels</v>
          </cell>
          <cell r="B96" t="str">
            <v>Leppedyk</v>
          </cell>
          <cell r="C96" t="str">
            <v>1</v>
          </cell>
          <cell r="D96" t="str">
            <v>a</v>
          </cell>
          <cell r="E96" t="str">
            <v>9245 HB</v>
          </cell>
          <cell r="F96" t="str">
            <v>NIJ BEETS</v>
          </cell>
          <cell r="G96" t="str">
            <v>NL</v>
          </cell>
        </row>
        <row r="97">
          <cell r="A97" t="str">
            <v>Albert Keizer</v>
          </cell>
          <cell r="B97" t="str">
            <v>Romeinstraat</v>
          </cell>
          <cell r="C97" t="str">
            <v>22</v>
          </cell>
          <cell r="E97" t="str">
            <v>2161 CP</v>
          </cell>
          <cell r="F97" t="str">
            <v>LISSE</v>
          </cell>
          <cell r="G97" t="str">
            <v>NL</v>
          </cell>
        </row>
        <row r="98">
          <cell r="A98" t="str">
            <v>BMN HENGELO (CRH)O</v>
          </cell>
          <cell r="B98" t="str">
            <v>Wegtersweg</v>
          </cell>
          <cell r="C98" t="str">
            <v>33</v>
          </cell>
          <cell r="E98" t="str">
            <v>7556 BR</v>
          </cell>
          <cell r="F98" t="str">
            <v>HENGELO</v>
          </cell>
          <cell r="G98" t="str">
            <v>NL</v>
          </cell>
        </row>
        <row r="99">
          <cell r="A99" t="str">
            <v>BMN ENKHUIZEN (CRH)W</v>
          </cell>
          <cell r="B99" t="str">
            <v>voorland</v>
          </cell>
          <cell r="C99" t="str">
            <v>1</v>
          </cell>
          <cell r="E99" t="str">
            <v>1601 EZ</v>
          </cell>
          <cell r="F99" t="str">
            <v>Enkhuizen</v>
          </cell>
          <cell r="G99" t="str">
            <v>NL</v>
          </cell>
        </row>
        <row r="100">
          <cell r="A100" t="str">
            <v>BMN ZWAAG (CRH)W</v>
          </cell>
          <cell r="B100" t="str">
            <v>DE COMPAGNIE</v>
          </cell>
          <cell r="C100" t="str">
            <v>16</v>
          </cell>
          <cell r="E100" t="str">
            <v>1698 AG</v>
          </cell>
          <cell r="F100" t="str">
            <v>ZWAAG</v>
          </cell>
          <cell r="G100" t="str">
            <v>NL</v>
          </cell>
        </row>
        <row r="101">
          <cell r="A101" t="str">
            <v>BMN ASSEN (CRH)N</v>
          </cell>
          <cell r="B101" t="str">
            <v>Van Hobokenstraat</v>
          </cell>
          <cell r="C101" t="str">
            <v>6</v>
          </cell>
          <cell r="E101" t="str">
            <v>9403 BD</v>
          </cell>
          <cell r="F101" t="str">
            <v>Assen</v>
          </cell>
          <cell r="G101" t="str">
            <v>NL</v>
          </cell>
        </row>
        <row r="102">
          <cell r="A102" t="str">
            <v>BMN OLDEKERK (CRH)N</v>
          </cell>
          <cell r="B102" t="str">
            <v>LANGEWOLDERWEG</v>
          </cell>
          <cell r="C102" t="str">
            <v>49</v>
          </cell>
          <cell r="E102" t="str">
            <v>9821 PN</v>
          </cell>
          <cell r="F102" t="str">
            <v>Oldekerk</v>
          </cell>
          <cell r="G102" t="str">
            <v>NL</v>
          </cell>
        </row>
        <row r="103">
          <cell r="A103" t="str">
            <v>BMN LEENS (CRH)N</v>
          </cell>
          <cell r="B103" t="str">
            <v>Rietemastraat</v>
          </cell>
          <cell r="C103" t="str">
            <v>12</v>
          </cell>
          <cell r="E103" t="str">
            <v>9965 RT</v>
          </cell>
          <cell r="F103" t="str">
            <v>Leens</v>
          </cell>
          <cell r="G103" t="str">
            <v>NL</v>
          </cell>
        </row>
        <row r="104">
          <cell r="A104" t="str">
            <v>RAAB KARCHER KAMPEN (NOORD)</v>
          </cell>
          <cell r="B104" t="str">
            <v>Ertsstraat</v>
          </cell>
          <cell r="C104" t="str">
            <v>11</v>
          </cell>
          <cell r="E104" t="str">
            <v>8263 BN</v>
          </cell>
          <cell r="F104" t="str">
            <v>Kampen</v>
          </cell>
          <cell r="G104" t="str">
            <v>NL</v>
          </cell>
        </row>
        <row r="105">
          <cell r="A105" t="str">
            <v>DANIELS EXCL.HAARDEN (REMBOURS)</v>
          </cell>
          <cell r="B105" t="str">
            <v>Gruitrodekiezel</v>
          </cell>
          <cell r="C105" t="str">
            <v>53</v>
          </cell>
          <cell r="E105" t="str">
            <v>B 3960</v>
          </cell>
          <cell r="F105" t="str">
            <v>BREE    (BELGIE)</v>
          </cell>
          <cell r="G105" t="str">
            <v>BE</v>
          </cell>
        </row>
        <row r="106">
          <cell r="A106" t="str">
            <v>Center Parcs Bungalowpark Bispingen GmbH</v>
          </cell>
          <cell r="B106" t="str">
            <v>Topinger Strasse</v>
          </cell>
          <cell r="C106" t="str">
            <v>69</v>
          </cell>
          <cell r="E106" t="str">
            <v>D-29646 Bispingen</v>
          </cell>
          <cell r="F106" t="str">
            <v>Germany</v>
          </cell>
          <cell r="G106" t="str">
            <v>DE</v>
          </cell>
        </row>
        <row r="107">
          <cell r="A107" t="str">
            <v>Kachels &amp; Zo</v>
          </cell>
          <cell r="B107" t="str">
            <v>De Wisboom</v>
          </cell>
          <cell r="C107" t="str">
            <v>13</v>
          </cell>
          <cell r="E107" t="str">
            <v>5384 HD</v>
          </cell>
          <cell r="F107" t="str">
            <v>Heesch</v>
          </cell>
          <cell r="G107" t="str">
            <v>NL</v>
          </cell>
        </row>
        <row r="108">
          <cell r="A108" t="str">
            <v>BOUWCENTER FLORIS AMSTERDAM veris</v>
          </cell>
          <cell r="B108" t="str">
            <v>Computerweg</v>
          </cell>
          <cell r="C108" t="str">
            <v>9</v>
          </cell>
          <cell r="E108" t="str">
            <v>1033 RH</v>
          </cell>
          <cell r="F108" t="str">
            <v>Amsterdam</v>
          </cell>
          <cell r="G108" t="str">
            <v>NL</v>
          </cell>
        </row>
        <row r="109">
          <cell r="A109" t="str">
            <v>RAAB KARCHER OLDENZAAL (OOST)</v>
          </cell>
          <cell r="B109" t="str">
            <v>Lubeckstraat</v>
          </cell>
          <cell r="C109" t="str">
            <v>38</v>
          </cell>
          <cell r="E109" t="str">
            <v>7575 EE</v>
          </cell>
          <cell r="F109" t="str">
            <v>Oldenzaal</v>
          </cell>
          <cell r="G109" t="str">
            <v>NL</v>
          </cell>
        </row>
        <row r="110">
          <cell r="A110" t="str">
            <v>BMN LEMMER (CRH)N</v>
          </cell>
          <cell r="B110" t="str">
            <v>Willemskade</v>
          </cell>
          <cell r="C110" t="str">
            <v>6</v>
          </cell>
          <cell r="E110" t="str">
            <v>8531 DN</v>
          </cell>
          <cell r="F110" t="str">
            <v>Lemmer</v>
          </cell>
          <cell r="G110" t="str">
            <v>NL</v>
          </cell>
        </row>
        <row r="111">
          <cell r="A111" t="str">
            <v>BMN MEDEMBLIK (CRH)W</v>
          </cell>
          <cell r="B111" t="str">
            <v>Dissel</v>
          </cell>
          <cell r="C111" t="str">
            <v>2</v>
          </cell>
          <cell r="E111" t="str">
            <v>1671 NG</v>
          </cell>
          <cell r="F111" t="str">
            <v>Medemblik</v>
          </cell>
          <cell r="G111" t="str">
            <v>NL</v>
          </cell>
        </row>
        <row r="112">
          <cell r="A112" t="str">
            <v>BMN DOKKUM (CRH)N</v>
          </cell>
          <cell r="B112" t="str">
            <v>Oostergoweg</v>
          </cell>
          <cell r="C112" t="str">
            <v>2</v>
          </cell>
          <cell r="E112" t="str">
            <v>9101 PL</v>
          </cell>
          <cell r="F112" t="str">
            <v>Dokkum</v>
          </cell>
          <cell r="G112" t="str">
            <v>NL</v>
          </cell>
        </row>
        <row r="113">
          <cell r="A113" t="str">
            <v>RAAB KARCHER BREDA (ZUID)</v>
          </cell>
          <cell r="B113" t="str">
            <v>Huifakkerstraat</v>
          </cell>
          <cell r="C113" t="str">
            <v>20</v>
          </cell>
          <cell r="E113" t="str">
            <v>4815 PN</v>
          </cell>
          <cell r="F113" t="str">
            <v>Breda</v>
          </cell>
          <cell r="G113" t="str">
            <v>NL</v>
          </cell>
        </row>
        <row r="114">
          <cell r="A114" t="str">
            <v>H.O Schalij Rijssen B.V.</v>
          </cell>
          <cell r="B114" t="str">
            <v>Kerkhofweg</v>
          </cell>
          <cell r="C114" t="str">
            <v>205</v>
          </cell>
          <cell r="E114" t="str">
            <v>7586 AD</v>
          </cell>
          <cell r="F114" t="str">
            <v>Overdinkel</v>
          </cell>
          <cell r="G114" t="str">
            <v>NL</v>
          </cell>
        </row>
        <row r="115">
          <cell r="A115" t="str">
            <v>BMN PURMEREND (CRH)W</v>
          </cell>
          <cell r="B115" t="str">
            <v>Volume</v>
          </cell>
          <cell r="C115" t="str">
            <v>160-162</v>
          </cell>
          <cell r="E115" t="str">
            <v>1446 WJ</v>
          </cell>
          <cell r="F115" t="str">
            <v>Purmerend</v>
          </cell>
          <cell r="G115" t="str">
            <v>NL</v>
          </cell>
        </row>
        <row r="116">
          <cell r="A116" t="str">
            <v>Service Haardencentrum Alkmaar</v>
          </cell>
          <cell r="B116" t="str">
            <v>Wolvenkoog</v>
          </cell>
          <cell r="C116" t="str">
            <v>5</v>
          </cell>
          <cell r="E116" t="str">
            <v>1822 BE</v>
          </cell>
          <cell r="F116" t="str">
            <v>Alkmaar</v>
          </cell>
          <cell r="G116" t="str">
            <v>NL</v>
          </cell>
        </row>
        <row r="117">
          <cell r="A117" t="str">
            <v>Kuijt Haarden &amp; Kachels</v>
          </cell>
          <cell r="B117" t="str">
            <v>Tramstraat</v>
          </cell>
          <cell r="C117" t="str">
            <v>28</v>
          </cell>
          <cell r="E117" t="str">
            <v>2225 CL</v>
          </cell>
          <cell r="F117" t="str">
            <v>Katwijk ZH</v>
          </cell>
          <cell r="G117" t="str">
            <v>NL</v>
          </cell>
        </row>
        <row r="118">
          <cell r="A118" t="str">
            <v>Van Wijnen Heerhugowaard B.V.</v>
          </cell>
          <cell r="B118" t="str">
            <v>Galileistraat</v>
          </cell>
          <cell r="C118" t="str">
            <v>21</v>
          </cell>
          <cell r="E118" t="str">
            <v>1704 SE</v>
          </cell>
          <cell r="F118" t="str">
            <v>Heerhugowaard</v>
          </cell>
          <cell r="G118" t="str">
            <v>NL</v>
          </cell>
        </row>
        <row r="119">
          <cell r="A119" t="str">
            <v>Paul Spronk Ambachtelijke Openhaardenbouw BV</v>
          </cell>
          <cell r="B119" t="str">
            <v>Overweg</v>
          </cell>
          <cell r="C119" t="str">
            <v>126</v>
          </cell>
          <cell r="E119" t="str">
            <v>1191 RD</v>
          </cell>
          <cell r="F119" t="str">
            <v>Ouderkerk aan de Amstel</v>
          </cell>
          <cell r="G119" t="str">
            <v>NL</v>
          </cell>
        </row>
        <row r="120">
          <cell r="A120" t="str">
            <v>Krul Alltech Kachels &amp; Haarden</v>
          </cell>
          <cell r="B120" t="str">
            <v>Dokter de Vriesstraat</v>
          </cell>
          <cell r="C120" t="str">
            <v>16</v>
          </cell>
          <cell r="E120" t="str">
            <v>1654 JT</v>
          </cell>
          <cell r="F120" t="str">
            <v>Benningbroek</v>
          </cell>
          <cell r="G120" t="str">
            <v>NL</v>
          </cell>
        </row>
        <row r="121">
          <cell r="A121" t="str">
            <v>HAARDENEXPERT BV</v>
          </cell>
          <cell r="B121" t="str">
            <v>Butaanstraat</v>
          </cell>
          <cell r="C121" t="str">
            <v>12</v>
          </cell>
          <cell r="E121" t="str">
            <v>7463 PG</v>
          </cell>
          <cell r="F121" t="str">
            <v>Rijssen</v>
          </cell>
          <cell r="G121" t="str">
            <v>NL</v>
          </cell>
        </row>
        <row r="122">
          <cell r="A122" t="str">
            <v>Fuego Kachels &amp; Haarden</v>
          </cell>
          <cell r="B122" t="str">
            <v>Handelsweg</v>
          </cell>
          <cell r="C122" t="str">
            <v>1</v>
          </cell>
          <cell r="E122" t="str">
            <v>7451 PJ</v>
          </cell>
          <cell r="F122" t="str">
            <v>Holten</v>
          </cell>
          <cell r="G122" t="str">
            <v>NL</v>
          </cell>
        </row>
        <row r="123">
          <cell r="A123" t="str">
            <v>RAAB KARCHER HENGELO (OOST)</v>
          </cell>
          <cell r="B123" t="str">
            <v>Kuipersdijk</v>
          </cell>
          <cell r="C123" t="str">
            <v>50</v>
          </cell>
          <cell r="E123" t="str">
            <v>7552 BJ</v>
          </cell>
          <cell r="F123" t="str">
            <v>Hengelo OV</v>
          </cell>
          <cell r="G123" t="str">
            <v>NL</v>
          </cell>
        </row>
        <row r="124">
          <cell r="A124" t="str">
            <v>RAAB KARCHER RAALTE (OOST)</v>
          </cell>
          <cell r="B124" t="str">
            <v>Almelosestraat</v>
          </cell>
          <cell r="C124" t="str">
            <v>74</v>
          </cell>
          <cell r="E124" t="str">
            <v>8102 HE</v>
          </cell>
          <cell r="F124" t="str">
            <v>Raalte</v>
          </cell>
          <cell r="G124" t="str">
            <v>NL</v>
          </cell>
        </row>
        <row r="125">
          <cell r="A125" t="str">
            <v>Willem Schermerhorn</v>
          </cell>
          <cell r="B125" t="str">
            <v>Korte Lakenstraat</v>
          </cell>
          <cell r="C125" t="str">
            <v>22</v>
          </cell>
          <cell r="E125" t="str">
            <v>2011 ZD</v>
          </cell>
          <cell r="F125" t="str">
            <v>Haarlem</v>
          </cell>
          <cell r="G125" t="str">
            <v>NL</v>
          </cell>
        </row>
        <row r="126">
          <cell r="A126" t="str">
            <v>Sparks.nu Haardenservice VOF</v>
          </cell>
          <cell r="B126" t="str">
            <v>Groenendal</v>
          </cell>
          <cell r="C126" t="str">
            <v>17</v>
          </cell>
          <cell r="E126" t="str">
            <v>5405 AS</v>
          </cell>
          <cell r="F126" t="str">
            <v>Uden</v>
          </cell>
          <cell r="G126" t="str">
            <v>NL</v>
          </cell>
        </row>
        <row r="127">
          <cell r="A127" t="str">
            <v>Openhaarden Service Nederland AIMOS</v>
          </cell>
          <cell r="B127" t="str">
            <v>Het Rif</v>
          </cell>
          <cell r="C127" t="str">
            <v>25</v>
          </cell>
          <cell r="E127" t="str">
            <v>2134 ZN</v>
          </cell>
          <cell r="F127" t="str">
            <v>Hoofddorp</v>
          </cell>
          <cell r="G127" t="str">
            <v>NL</v>
          </cell>
        </row>
        <row r="128">
          <cell r="A128" t="str">
            <v>Bouwcenter RAB Zwaag</v>
          </cell>
          <cell r="B128" t="str">
            <v>de Marowijne</v>
          </cell>
          <cell r="C128" t="str">
            <v>29</v>
          </cell>
          <cell r="E128" t="str">
            <v>1689 AR</v>
          </cell>
          <cell r="F128" t="str">
            <v>ZWAAG</v>
          </cell>
          <cell r="G128" t="str">
            <v>NL</v>
          </cell>
        </row>
        <row r="129">
          <cell r="A129" t="str">
            <v>OUWEHAND BOUW PLUS B.V.</v>
          </cell>
          <cell r="B129" t="str">
            <v>PAPLAND</v>
          </cell>
          <cell r="C129" t="str">
            <v>19</v>
          </cell>
          <cell r="E129" t="str">
            <v>4206 CK</v>
          </cell>
          <cell r="F129" t="str">
            <v>Gorinchem</v>
          </cell>
          <cell r="G129" t="str">
            <v>NL</v>
          </cell>
        </row>
        <row r="130">
          <cell r="A130" t="str">
            <v>DIAS Schouwen &amp; Haarden</v>
          </cell>
          <cell r="B130" t="str">
            <v>Laan van Meedervoort</v>
          </cell>
          <cell r="C130" t="str">
            <v>156</v>
          </cell>
          <cell r="D130" t="str">
            <v>a</v>
          </cell>
          <cell r="E130" t="str">
            <v>2517 BG</v>
          </cell>
          <cell r="F130" t="str">
            <v>s-Gravenhage</v>
          </cell>
          <cell r="G130" t="str">
            <v>NL</v>
          </cell>
        </row>
        <row r="131">
          <cell r="A131" t="str">
            <v>Ooms Warmtewereld v.o.f.</v>
          </cell>
          <cell r="B131" t="str">
            <v>Oudestraat</v>
          </cell>
          <cell r="C131" t="str">
            <v>14</v>
          </cell>
          <cell r="E131" t="str">
            <v>4311 AW</v>
          </cell>
          <cell r="F131" t="str">
            <v>Bruinisse</v>
          </cell>
          <cell r="G131" t="str">
            <v>NL</v>
          </cell>
        </row>
        <row r="132">
          <cell r="A132" t="str">
            <v>Het Kacheltje</v>
          </cell>
          <cell r="B132" t="str">
            <v>KERKHOFLAAN</v>
          </cell>
          <cell r="C132" t="str">
            <v>11</v>
          </cell>
          <cell r="E132" t="str">
            <v>7251 JW</v>
          </cell>
          <cell r="F132" t="str">
            <v>Vorden</v>
          </cell>
          <cell r="G132" t="str">
            <v>NL</v>
          </cell>
        </row>
        <row r="133">
          <cell r="A133" t="str">
            <v>Hooijer Haarden  &amp;  Vloeren</v>
          </cell>
          <cell r="B133" t="str">
            <v>Meerweg</v>
          </cell>
          <cell r="C133" t="str">
            <v>24</v>
          </cell>
          <cell r="E133" t="str">
            <v>1405 BG</v>
          </cell>
          <cell r="F133" t="str">
            <v>Bussum</v>
          </cell>
          <cell r="G133" t="str">
            <v>NL</v>
          </cell>
        </row>
        <row r="134">
          <cell r="A134" t="str">
            <v>Installatiebedrijf Jan Diender B.V.</v>
          </cell>
          <cell r="B134" t="str">
            <v>Ambachtsstraat</v>
          </cell>
          <cell r="C134" t="str">
            <v>36</v>
          </cell>
          <cell r="E134" t="str">
            <v>8263 AK</v>
          </cell>
          <cell r="F134" t="str">
            <v>Kampen</v>
          </cell>
          <cell r="G134" t="str">
            <v>NL</v>
          </cell>
        </row>
        <row r="135">
          <cell r="A135" t="str">
            <v>Wolterinck</v>
          </cell>
          <cell r="B135" t="str">
            <v>Vliegweg</v>
          </cell>
          <cell r="C135" t="str">
            <v>1</v>
          </cell>
          <cell r="D135" t="str">
            <v>A</v>
          </cell>
          <cell r="E135" t="str">
            <v>1261 GK</v>
          </cell>
          <cell r="F135" t="str">
            <v>Blaricum</v>
          </cell>
          <cell r="G135" t="str">
            <v>NL</v>
          </cell>
        </row>
        <row r="136">
          <cell r="A136" t="str">
            <v>Reijnhoudt &amp; van der Zwet</v>
          </cell>
          <cell r="B136" t="str">
            <v>Stephensonstraat</v>
          </cell>
          <cell r="C136" t="str">
            <v>31</v>
          </cell>
          <cell r="E136" t="str">
            <v>2014 KB</v>
          </cell>
          <cell r="F136" t="str">
            <v>Haarlem</v>
          </cell>
          <cell r="G136" t="str">
            <v>NL</v>
          </cell>
        </row>
        <row r="137">
          <cell r="A137" t="str">
            <v>Hof van Salland</v>
          </cell>
          <cell r="B137" t="str">
            <v>Knollenhaarweg</v>
          </cell>
          <cell r="C137" t="str">
            <v>7</v>
          </cell>
          <cell r="E137" t="str">
            <v>7447 PP</v>
          </cell>
          <cell r="F137" t="str">
            <v>Hellendoorn</v>
          </cell>
          <cell r="G137" t="str">
            <v>NL</v>
          </cell>
        </row>
        <row r="138">
          <cell r="A138" t="str">
            <v>Alfrebo Handelsonderneming</v>
          </cell>
          <cell r="B138" t="str">
            <v>Overpelterbaan</v>
          </cell>
          <cell r="C138" t="str">
            <v>52</v>
          </cell>
          <cell r="E138" t="str">
            <v>3941 Eksel</v>
          </cell>
          <cell r="G138" t="str">
            <v>BE</v>
          </cell>
        </row>
        <row r="139">
          <cell r="A139" t="str">
            <v>C.P. onderhoudsbedrijf</v>
          </cell>
          <cell r="B139" t="str">
            <v>Schaarweide</v>
          </cell>
          <cell r="C139" t="str">
            <v>112</v>
          </cell>
          <cell r="E139" t="str">
            <v>3075 RE</v>
          </cell>
          <cell r="F139" t="str">
            <v>Rotterdam</v>
          </cell>
          <cell r="G139" t="str">
            <v>NL</v>
          </cell>
        </row>
        <row r="140">
          <cell r="A140" t="str">
            <v>Marcel Eman Openhaarden</v>
          </cell>
          <cell r="B140" t="str">
            <v>Boegstraat</v>
          </cell>
          <cell r="C140" t="str">
            <v>29</v>
          </cell>
          <cell r="E140" t="str">
            <v>2586 ET</v>
          </cell>
          <cell r="F140" t="str">
            <v>s-Gravenhage</v>
          </cell>
          <cell r="G140" t="str">
            <v>NL</v>
          </cell>
        </row>
        <row r="141">
          <cell r="A141" t="str">
            <v>BMN VEGHEL (CRH)Z</v>
          </cell>
          <cell r="B141" t="str">
            <v>Doornhoek</v>
          </cell>
          <cell r="C141" t="str">
            <v>3930</v>
          </cell>
          <cell r="E141" t="str">
            <v>5465 TC</v>
          </cell>
          <cell r="F141" t="str">
            <v>Veghel</v>
          </cell>
          <cell r="G141" t="str">
            <v>NL</v>
          </cell>
        </row>
        <row r="142">
          <cell r="A142" t="str">
            <v>Openhaarden &amp; Kachelcentrum De Griffioen</v>
          </cell>
          <cell r="B142" t="str">
            <v>Anthonetta Kuijlstraat</v>
          </cell>
          <cell r="C142" t="str">
            <v>36</v>
          </cell>
          <cell r="E142" t="str">
            <v>3066 GS</v>
          </cell>
          <cell r="F142" t="str">
            <v>Rotterdam</v>
          </cell>
          <cell r="G142" t="str">
            <v>NL</v>
          </cell>
        </row>
        <row r="143">
          <cell r="A143" t="str">
            <v>Samshuijzen Onderhoud &amp; Renovatie</v>
          </cell>
          <cell r="B143" t="str">
            <v>Schubertlaan</v>
          </cell>
          <cell r="C143" t="str">
            <v>42</v>
          </cell>
          <cell r="E143" t="str">
            <v>2151 GB</v>
          </cell>
          <cell r="F143" t="str">
            <v>Nieuw Vennep</v>
          </cell>
          <cell r="G143" t="str">
            <v>NL</v>
          </cell>
        </row>
        <row r="144">
          <cell r="A144" t="str">
            <v>Otto Vuur BV</v>
          </cell>
          <cell r="B144" t="str">
            <v>Haarlemmerstraat</v>
          </cell>
          <cell r="C144" t="str">
            <v>293</v>
          </cell>
          <cell r="E144" t="str">
            <v>2312 DT</v>
          </cell>
          <cell r="F144" t="str">
            <v>Leiden</v>
          </cell>
          <cell r="G144" t="str">
            <v>NL</v>
          </cell>
        </row>
        <row r="145">
          <cell r="A145" t="str">
            <v>Vano Haarden &amp; Natuursteen BV</v>
          </cell>
          <cell r="B145" t="str">
            <v>Draadbaan</v>
          </cell>
          <cell r="C145" t="str">
            <v>36/38</v>
          </cell>
          <cell r="E145" t="str">
            <v>2352 AW</v>
          </cell>
          <cell r="F145" t="str">
            <v>Leiderdorp</v>
          </cell>
          <cell r="G145" t="str">
            <v>NL</v>
          </cell>
        </row>
        <row r="146">
          <cell r="A146" t="str">
            <v>BOUWCENTER CONCORDIA HEERENVEEN veris</v>
          </cell>
          <cell r="B146" t="str">
            <v>Saturnus</v>
          </cell>
          <cell r="C146" t="str">
            <v>3</v>
          </cell>
          <cell r="E146" t="str">
            <v>8448 CC</v>
          </cell>
          <cell r="F146" t="str">
            <v>Heerenveen</v>
          </cell>
          <cell r="G146" t="str">
            <v>NL</v>
          </cell>
        </row>
        <row r="147">
          <cell r="A147" t="str">
            <v>Kusk Haarden &amp;  Kachels</v>
          </cell>
          <cell r="B147" t="str">
            <v>VAN ZUIJLEN VAN NIEVELTLAAN</v>
          </cell>
          <cell r="C147" t="str">
            <v>83</v>
          </cell>
          <cell r="E147" t="str">
            <v>3771 AB</v>
          </cell>
          <cell r="F147" t="str">
            <v>Barneveld</v>
          </cell>
          <cell r="G147" t="str">
            <v>NL</v>
          </cell>
        </row>
        <row r="148">
          <cell r="A148" t="str">
            <v>Rietveld Openhaarden</v>
          </cell>
          <cell r="B148" t="str">
            <v>Westknollendam</v>
          </cell>
          <cell r="C148" t="str">
            <v>121</v>
          </cell>
          <cell r="E148" t="str">
            <v>1525 PT</v>
          </cell>
          <cell r="F148" t="str">
            <v>Westknollendam</v>
          </cell>
          <cell r="G148" t="str">
            <v>NL</v>
          </cell>
        </row>
        <row r="149">
          <cell r="A149" t="str">
            <v>Van Rossum kachels</v>
          </cell>
          <cell r="B149" t="str">
            <v>Waterstraat</v>
          </cell>
          <cell r="C149" t="str">
            <v>7</v>
          </cell>
          <cell r="D149" t="str">
            <v>F</v>
          </cell>
          <cell r="E149" t="str">
            <v>6658 AA</v>
          </cell>
          <cell r="F149" t="str">
            <v>Beneden Leeuwen</v>
          </cell>
          <cell r="G149" t="str">
            <v>NL</v>
          </cell>
        </row>
        <row r="150">
          <cell r="A150" t="str">
            <v>Houtkacheldirect.nl</v>
          </cell>
          <cell r="B150" t="str">
            <v>Carbonstraat</v>
          </cell>
          <cell r="C150" t="str">
            <v>5</v>
          </cell>
          <cell r="E150" t="str">
            <v>8472 EA</v>
          </cell>
          <cell r="F150" t="str">
            <v>Wolvega</v>
          </cell>
          <cell r="G150" t="str">
            <v>NL</v>
          </cell>
        </row>
        <row r="151">
          <cell r="A151" t="str">
            <v>VIC INSTALLATIE</v>
          </cell>
          <cell r="B151" t="str">
            <v>Leuvenstraat</v>
          </cell>
          <cell r="C151" t="str">
            <v>18</v>
          </cell>
          <cell r="E151" t="str">
            <v>4307 CA</v>
          </cell>
          <cell r="F151" t="str">
            <v>Oosterland</v>
          </cell>
          <cell r="G151" t="str">
            <v>NL</v>
          </cell>
        </row>
        <row r="152">
          <cell r="A152" t="str">
            <v>POOK Haarden B.V.</v>
          </cell>
          <cell r="B152" t="str">
            <v>VLIETSKADE</v>
          </cell>
          <cell r="C152" t="str">
            <v>6004</v>
          </cell>
          <cell r="E152" t="str">
            <v>4241 WP</v>
          </cell>
          <cell r="F152" t="str">
            <v>Arkel</v>
          </cell>
          <cell r="G152" t="str">
            <v>NL</v>
          </cell>
        </row>
        <row r="153">
          <cell r="A153" t="str">
            <v>P.C.C. Property Care Consultancy</v>
          </cell>
          <cell r="B153" t="str">
            <v>Bellamystraat</v>
          </cell>
          <cell r="C153" t="str">
            <v>89-</v>
          </cell>
          <cell r="D153" t="str">
            <v>A</v>
          </cell>
          <cell r="E153" t="str">
            <v>1053 BJ</v>
          </cell>
          <cell r="F153" t="str">
            <v>Amsterdam</v>
          </cell>
          <cell r="G153" t="str">
            <v>NL</v>
          </cell>
        </row>
        <row r="154">
          <cell r="A154" t="str">
            <v>Nico Schouw Openhaardenbouw</v>
          </cell>
          <cell r="B154" t="str">
            <v>Berkelse Poort</v>
          </cell>
          <cell r="C154" t="str">
            <v>65</v>
          </cell>
          <cell r="E154" t="str">
            <v>2651 JX</v>
          </cell>
          <cell r="F154" t="str">
            <v>Berkel en Rodenrijs</v>
          </cell>
          <cell r="G154" t="str">
            <v>NL</v>
          </cell>
        </row>
        <row r="155">
          <cell r="A155" t="str">
            <v>De Vries Haarden &amp; Kachels Installaties</v>
          </cell>
          <cell r="B155" t="str">
            <v>Koningsweg in Ambachtshal</v>
          </cell>
          <cell r="E155" t="str">
            <v>Soest</v>
          </cell>
          <cell r="G155" t="str">
            <v>NL</v>
          </cell>
        </row>
        <row r="156">
          <cell r="A156" t="str">
            <v>Betuws Schoorsteenveegbedrijf &amp;</v>
          </cell>
          <cell r="B156" t="str">
            <v>Patrijsstraat</v>
          </cell>
          <cell r="C156" t="str">
            <v>23</v>
          </cell>
          <cell r="E156" t="str">
            <v>6658 GB</v>
          </cell>
          <cell r="F156" t="str">
            <v>Beneden Leeuwen</v>
          </cell>
          <cell r="G156" t="str">
            <v>NL</v>
          </cell>
        </row>
        <row r="157">
          <cell r="A157" t="str">
            <v>VDB METAALBEWERKING</v>
          </cell>
          <cell r="B157" t="str">
            <v>Fabrieksweg</v>
          </cell>
          <cell r="C157" t="str">
            <v>17</v>
          </cell>
          <cell r="E157" t="str">
            <v>5683 PN</v>
          </cell>
          <cell r="F157" t="str">
            <v>Best</v>
          </cell>
          <cell r="G157" t="str">
            <v>NL</v>
          </cell>
        </row>
        <row r="158">
          <cell r="A158" t="str">
            <v>Installatiebedrijf De Boers</v>
          </cell>
          <cell r="B158" t="str">
            <v>Frijdastraat</v>
          </cell>
          <cell r="C158" t="str">
            <v>24</v>
          </cell>
          <cell r="E158" t="str">
            <v>2288 EZ</v>
          </cell>
          <cell r="F158" t="str">
            <v>Rijswijk ZH</v>
          </cell>
          <cell r="G158" t="str">
            <v>NL</v>
          </cell>
        </row>
        <row r="159">
          <cell r="A159" t="str">
            <v>Flamboyant Haarden B.V.</v>
          </cell>
          <cell r="B159" t="str">
            <v>Beeklaan</v>
          </cell>
          <cell r="C159" t="str">
            <v>102</v>
          </cell>
          <cell r="D159" t="str">
            <v>B</v>
          </cell>
          <cell r="E159" t="str">
            <v>2182 NH</v>
          </cell>
          <cell r="F159" t="str">
            <v>Hillegom</v>
          </cell>
          <cell r="G159" t="str">
            <v>NL</v>
          </cell>
        </row>
        <row r="160">
          <cell r="A160" t="str">
            <v>Schouwenpaleis Breda</v>
          </cell>
          <cell r="B160" t="str">
            <v>Koele mei</v>
          </cell>
          <cell r="C160" t="str">
            <v>22</v>
          </cell>
          <cell r="E160" t="str">
            <v>4816 JD</v>
          </cell>
          <cell r="F160" t="str">
            <v>Breda</v>
          </cell>
          <cell r="G160" t="str">
            <v>NL</v>
          </cell>
        </row>
        <row r="161">
          <cell r="A161" t="str">
            <v>BOUWCENTER VEGHEL veris</v>
          </cell>
          <cell r="B161" t="str">
            <v>DE AMERT</v>
          </cell>
          <cell r="C161" t="str">
            <v>417</v>
          </cell>
          <cell r="E161" t="str">
            <v>5462 GH</v>
          </cell>
          <cell r="F161" t="str">
            <v>VEGHEL</v>
          </cell>
          <cell r="G161" t="str">
            <v>NL</v>
          </cell>
        </row>
        <row r="162">
          <cell r="A162" t="str">
            <v>Omikron</v>
          </cell>
          <cell r="B162" t="str">
            <v>Albinow</v>
          </cell>
          <cell r="C162" t="str">
            <v>23</v>
          </cell>
          <cell r="E162" t="str">
            <v>08-130 KOTUN</v>
          </cell>
          <cell r="G162" t="str">
            <v>PL</v>
          </cell>
        </row>
        <row r="163">
          <cell r="A163" t="str">
            <v>Have Verwarming B.V.</v>
          </cell>
          <cell r="B163" t="str">
            <v>Hullerpad</v>
          </cell>
          <cell r="C163" t="str">
            <v>34</v>
          </cell>
          <cell r="E163" t="str">
            <v>6741 PA</v>
          </cell>
          <cell r="F163" t="str">
            <v>LUNTEREN</v>
          </cell>
          <cell r="G163" t="str">
            <v>NL</v>
          </cell>
        </row>
        <row r="164">
          <cell r="A164" t="str">
            <v>Sinwi Europe B.V.</v>
          </cell>
          <cell r="B164" t="str">
            <v>Penningweg</v>
          </cell>
          <cell r="C164" t="str">
            <v>6</v>
          </cell>
          <cell r="E164" t="str">
            <v>4879 AG</v>
          </cell>
          <cell r="F164" t="str">
            <v>Etten-Leur</v>
          </cell>
          <cell r="G164" t="str">
            <v>NL</v>
          </cell>
        </row>
        <row r="165">
          <cell r="A165" t="str">
            <v>Leda Werk Gmbh &amp; Co</v>
          </cell>
          <cell r="B165" t="str">
            <v>Am Anger</v>
          </cell>
          <cell r="C165" t="str">
            <v>9</v>
          </cell>
          <cell r="E165" t="str">
            <v>92353 Postbauer</v>
          </cell>
          <cell r="G165" t="str">
            <v>DE</v>
          </cell>
        </row>
        <row r="166">
          <cell r="A166" t="str">
            <v>Fuego Difusion</v>
          </cell>
          <cell r="B166" t="str">
            <v>Avda. De Ronda,</v>
          </cell>
          <cell r="C166" t="str">
            <v>21</v>
          </cell>
          <cell r="E166" t="str">
            <v>28981 PARLA</v>
          </cell>
          <cell r="F166" t="str">
            <v>(Madrid- España)</v>
          </cell>
          <cell r="G166" t="str">
            <v>ES</v>
          </cell>
        </row>
        <row r="167">
          <cell r="A167" t="str">
            <v>Haardengoed Anyfire</v>
          </cell>
          <cell r="B167" t="str">
            <v>De Noesten</v>
          </cell>
          <cell r="C167" t="str">
            <v>86</v>
          </cell>
          <cell r="E167" t="str">
            <v>9431 TG</v>
          </cell>
          <cell r="F167" t="str">
            <v>Westerbork</v>
          </cell>
          <cell r="G167" t="str">
            <v>NL</v>
          </cell>
        </row>
        <row r="168">
          <cell r="A168" t="str">
            <v>Dimitrios G. Nicolaou &amp; SIA E.E.</v>
          </cell>
          <cell r="B168" t="str">
            <v>Varis Koropiou</v>
          </cell>
          <cell r="C168" t="str">
            <v>22</v>
          </cell>
          <cell r="E168" t="str">
            <v>16672 KOROPI</v>
          </cell>
          <cell r="G168" t="str">
            <v>GR</v>
          </cell>
        </row>
        <row r="169">
          <cell r="A169" t="str">
            <v>Industrias Hergom S.L</v>
          </cell>
          <cell r="B169" t="str">
            <v>Borrancho</v>
          </cell>
          <cell r="E169" t="str">
            <v>39110 SOTO</v>
          </cell>
          <cell r="F169" t="str">
            <v>DE LA MARINA</v>
          </cell>
          <cell r="G169" t="str">
            <v>ES</v>
          </cell>
        </row>
        <row r="170">
          <cell r="A170" t="str">
            <v>Gas Supply</v>
          </cell>
          <cell r="B170" t="str">
            <v>Botteveien</v>
          </cell>
          <cell r="C170" t="str">
            <v>41</v>
          </cell>
          <cell r="E170" t="str">
            <v>3241 SANDEFJORD</v>
          </cell>
          <cell r="G170" t="str">
            <v>NO</v>
          </cell>
        </row>
        <row r="171">
          <cell r="A171" t="str">
            <v>Fero NV</v>
          </cell>
          <cell r="B171" t="str">
            <v>Industriepark De Bruwaan</v>
          </cell>
          <cell r="C171" t="str">
            <v>17</v>
          </cell>
          <cell r="E171" t="str">
            <v>B-9700 OUDENAARDE</v>
          </cell>
          <cell r="G171" t="str">
            <v>BE</v>
          </cell>
        </row>
        <row r="172">
          <cell r="A172" t="str">
            <v>IMPORCHAMA</v>
          </cell>
          <cell r="B172" t="str">
            <v>Rua da Comital</v>
          </cell>
          <cell r="C172" t="str">
            <v>154</v>
          </cell>
          <cell r="E172" t="str">
            <v>4445-349 ERMESINDE</v>
          </cell>
          <cell r="G172" t="str">
            <v>PT</v>
          </cell>
        </row>
        <row r="173">
          <cell r="A173" t="str">
            <v>Unifire Service NV</v>
          </cell>
          <cell r="B173" t="str">
            <v>Industriepark De Bruwaan</v>
          </cell>
          <cell r="C173" t="str">
            <v>17</v>
          </cell>
          <cell r="E173" t="str">
            <v>B-9700 OUDENAARDE</v>
          </cell>
          <cell r="G173" t="str">
            <v>BE</v>
          </cell>
        </row>
        <row r="174">
          <cell r="A174" t="str">
            <v>Thermo Technology International d.o.o.</v>
          </cell>
          <cell r="B174" t="str">
            <v>Krivajska BB</v>
          </cell>
          <cell r="E174" t="str">
            <v>72220 ZAVIDOVICI</v>
          </cell>
          <cell r="G174" t="str">
            <v>BA</v>
          </cell>
        </row>
        <row r="175">
          <cell r="A175" t="str">
            <v>THE FLAME GmbH</v>
          </cell>
          <cell r="B175" t="str">
            <v>Schalserstrasse</v>
          </cell>
          <cell r="C175" t="str">
            <v>41</v>
          </cell>
          <cell r="E175" t="str">
            <v>6200 JENBACH</v>
          </cell>
          <cell r="G175" t="str">
            <v>AT</v>
          </cell>
        </row>
        <row r="176">
          <cell r="A176" t="str">
            <v>Marchona Ltd</v>
          </cell>
          <cell r="B176" t="str">
            <v>Elias Papakyriakou</v>
          </cell>
          <cell r="C176" t="str">
            <v>8</v>
          </cell>
          <cell r="E176" t="str">
            <v>2415 ENGOMI</v>
          </cell>
          <cell r="G176" t="str">
            <v>CY</v>
          </cell>
        </row>
        <row r="177">
          <cell r="A177" t="str">
            <v>Flexinox</v>
          </cell>
          <cell r="B177" t="str">
            <v>Industriepark De Bruwaan</v>
          </cell>
          <cell r="C177" t="str">
            <v>17</v>
          </cell>
          <cell r="E177" t="str">
            <v>B-9700 OUDENAARDE</v>
          </cell>
          <cell r="G177" t="str">
            <v>BE</v>
          </cell>
        </row>
        <row r="178">
          <cell r="A178" t="str">
            <v>Home Fire BV</v>
          </cell>
          <cell r="B178" t="str">
            <v>Landaasweg</v>
          </cell>
          <cell r="C178" t="str">
            <v>8</v>
          </cell>
          <cell r="E178" t="str">
            <v>3931 GA</v>
          </cell>
          <cell r="F178" t="str">
            <v>WOUDENBERG</v>
          </cell>
          <cell r="G178" t="str">
            <v>NL</v>
          </cell>
        </row>
        <row r="179">
          <cell r="A179" t="str">
            <v>Stone Creations</v>
          </cell>
          <cell r="B179" t="str">
            <v>Kunvent</v>
          </cell>
          <cell r="E179" t="str">
            <v>ZBR 1353</v>
          </cell>
          <cell r="F179" t="str">
            <v>ZABBAR</v>
          </cell>
          <cell r="G179" t="str">
            <v>MT</v>
          </cell>
        </row>
        <row r="183">
          <cell r="A183" t="str">
            <v>Schalij H.O. Apeldoorn B.V.</v>
          </cell>
          <cell r="B183" t="str">
            <v>Vlijtseweg</v>
          </cell>
          <cell r="C183" t="str">
            <v>196</v>
          </cell>
          <cell r="E183" t="str">
            <v>7317 AN</v>
          </cell>
          <cell r="F183" t="str">
            <v>Apeldoorn</v>
          </cell>
          <cell r="G183" t="str">
            <v>NL</v>
          </cell>
        </row>
        <row r="185">
          <cell r="A185" t="str">
            <v>TiM Kominki Sp. z o.o.</v>
          </cell>
          <cell r="B185" t="str">
            <v>Bartycka</v>
          </cell>
          <cell r="C185" t="str">
            <v>20/24</v>
          </cell>
          <cell r="D185" t="str">
            <v>Pawilon 7a</v>
          </cell>
          <cell r="E185" t="str">
            <v>00-716 Warszawa</v>
          </cell>
          <cell r="G185" t="str">
            <v>PL</v>
          </cell>
        </row>
        <row r="186">
          <cell r="A186" t="str">
            <v>Hase-Kaminofenbau GmbH</v>
          </cell>
          <cell r="B186" t="str">
            <v>Niederkircherstr.</v>
          </cell>
          <cell r="C186" t="str">
            <v>14</v>
          </cell>
          <cell r="E186" t="str">
            <v>54294 Trier</v>
          </cell>
          <cell r="G186" t="str">
            <v>DE</v>
          </cell>
        </row>
        <row r="187">
          <cell r="A187" t="str">
            <v>Led-e-Lux Supply B.V.</v>
          </cell>
          <cell r="B187" t="str">
            <v>Houtsestraat</v>
          </cell>
          <cell r="C187" t="str">
            <v>33</v>
          </cell>
          <cell r="E187" t="str">
            <v>5706 LR</v>
          </cell>
          <cell r="F187" t="str">
            <v>Helmond</v>
          </cell>
          <cell r="G187" t="str">
            <v>NL</v>
          </cell>
        </row>
        <row r="189">
          <cell r="A189" t="str">
            <v>BELGOFIRE NV</v>
          </cell>
          <cell r="B189" t="str">
            <v>Industriepark De Bruwaan</v>
          </cell>
          <cell r="C189" t="str">
            <v>17</v>
          </cell>
          <cell r="E189" t="str">
            <v>B-9700 OUDENAARDE</v>
          </cell>
          <cell r="G189" t="str">
            <v>BE</v>
          </cell>
        </row>
        <row r="191">
          <cell r="A191" t="str">
            <v>BUNTFIRES</v>
          </cell>
          <cell r="B191" t="str">
            <v>Van Zuijlen van Nieveltlaan</v>
          </cell>
          <cell r="C191" t="str">
            <v>83</v>
          </cell>
          <cell r="E191" t="str">
            <v>3771 AB</v>
          </cell>
          <cell r="F191" t="str">
            <v>Barneveld</v>
          </cell>
          <cell r="G191" t="str">
            <v>NL</v>
          </cell>
        </row>
        <row r="193">
          <cell r="A193" t="str">
            <v>Schmitzker Heiztechnik GmbH &amp; Co. KG</v>
          </cell>
          <cell r="B193" t="str">
            <v>Am Werk</v>
          </cell>
          <cell r="C193" t="str">
            <v>3</v>
          </cell>
          <cell r="E193" t="str">
            <v>01259 Dresden</v>
          </cell>
          <cell r="G193" t="str">
            <v>DE</v>
          </cell>
        </row>
        <row r="194">
          <cell r="A194" t="str">
            <v>De Vries Haarden en Kachels Installaties</v>
          </cell>
          <cell r="B194" t="str">
            <v>Koninginnelaan</v>
          </cell>
          <cell r="C194" t="str">
            <v>99</v>
          </cell>
          <cell r="E194" t="str">
            <v>3762 DC</v>
          </cell>
          <cell r="F194" t="str">
            <v>Soest</v>
          </cell>
          <cell r="G194" t="str">
            <v>NL</v>
          </cell>
        </row>
        <row r="195">
          <cell r="A195" t="str">
            <v>Romotop spol. s.r.o.</v>
          </cell>
          <cell r="B195" t="str">
            <v>Huttenstrasse</v>
          </cell>
          <cell r="C195" t="str">
            <v>38</v>
          </cell>
          <cell r="E195" t="str">
            <v>59939 Olsberg</v>
          </cell>
          <cell r="G195" t="str">
            <v>CZ</v>
          </cell>
        </row>
        <row r="196">
          <cell r="A196" t="str">
            <v>Idegarden Living</v>
          </cell>
          <cell r="B196" t="str">
            <v>Fuglevadsvej</v>
          </cell>
          <cell r="C196" t="str">
            <v>69</v>
          </cell>
          <cell r="E196" t="str">
            <v>2800 Lyngby</v>
          </cell>
          <cell r="G196" t="str">
            <v>DK</v>
          </cell>
        </row>
        <row r="197">
          <cell r="A197" t="str">
            <v>MONT-EXPORT SRL</v>
          </cell>
          <cell r="B197" t="str">
            <v>MAGAZZINO MONT-EXPORT</v>
          </cell>
          <cell r="E197" t="str">
            <v>31029 VITTORIO</v>
          </cell>
          <cell r="F197" t="str">
            <v>VENETO (TV)</v>
          </cell>
          <cell r="G197" t="str">
            <v>IT</v>
          </cell>
        </row>
        <row r="198">
          <cell r="A198" t="str">
            <v>Schindler+Hofmann GmbH</v>
          </cell>
          <cell r="B198" t="str">
            <v>Albrecht-Dürer-Straße</v>
          </cell>
          <cell r="C198" t="str">
            <v>14</v>
          </cell>
          <cell r="E198" t="str">
            <v>68723 Schwetzingen</v>
          </cell>
          <cell r="G198" t="str">
            <v>DE</v>
          </cell>
        </row>
        <row r="199">
          <cell r="A199" t="str">
            <v>Donselaar Tenten</v>
          </cell>
          <cell r="B199" t="str">
            <v>Laagerfseweg</v>
          </cell>
          <cell r="C199" t="str">
            <v>31</v>
          </cell>
          <cell r="D199" t="str">
            <v>A</v>
          </cell>
          <cell r="E199" t="str">
            <v>3931 PC</v>
          </cell>
          <cell r="F199" t="str">
            <v>Woudenberg</v>
          </cell>
          <cell r="G199" t="str">
            <v>NL</v>
          </cell>
        </row>
        <row r="200">
          <cell r="A200" t="str">
            <v>Olsberg GmbH</v>
          </cell>
          <cell r="B200" t="str">
            <v>Hüttenstraße</v>
          </cell>
          <cell r="C200" t="str">
            <v>38</v>
          </cell>
          <cell r="E200" t="str">
            <v>59939 Olsberg</v>
          </cell>
          <cell r="G200" t="str">
            <v>DE</v>
          </cell>
        </row>
        <row r="201">
          <cell r="A201" t="str">
            <v>CERA-Design by Britta von Tasch GmbH</v>
          </cell>
          <cell r="B201" t="str">
            <v>Am Langen Graben</v>
          </cell>
          <cell r="C201" t="str">
            <v>28</v>
          </cell>
          <cell r="E201" t="str">
            <v>52353 Düren</v>
          </cell>
          <cell r="G201" t="str">
            <v>DE</v>
          </cell>
        </row>
        <row r="202">
          <cell r="A202" t="str">
            <v>HASE Ofen AG</v>
          </cell>
          <cell r="B202" t="str">
            <v>Aspackerstrasse</v>
          </cell>
          <cell r="C202" t="str">
            <v>54</v>
          </cell>
          <cell r="E202" t="str">
            <v>8413 Neftenbach</v>
          </cell>
          <cell r="G202" t="str">
            <v>CH</v>
          </cell>
        </row>
        <row r="203">
          <cell r="A203" t="str">
            <v>Noordwijk Vakanties</v>
          </cell>
          <cell r="B203" t="str">
            <v>Duindamseweg</v>
          </cell>
          <cell r="C203" t="str">
            <v>7</v>
          </cell>
          <cell r="E203" t="str">
            <v>2204 BK</v>
          </cell>
          <cell r="F203" t="str">
            <v>Noordwijk</v>
          </cell>
          <cell r="G203" t="str">
            <v>NL</v>
          </cell>
        </row>
        <row r="204">
          <cell r="A204" t="str">
            <v>Schmidt Schoorsteenwerken B.V.</v>
          </cell>
          <cell r="B204" t="str">
            <v>A. Hofmanweg</v>
          </cell>
          <cell r="C204" t="str">
            <v>22</v>
          </cell>
          <cell r="E204" t="str">
            <v>2031 BL</v>
          </cell>
          <cell r="F204" t="str">
            <v>Haarlem</v>
          </cell>
          <cell r="G204" t="str">
            <v>NL</v>
          </cell>
        </row>
        <row r="205">
          <cell r="A205" t="str">
            <v>Goedbeschouwd</v>
          </cell>
          <cell r="B205" t="str">
            <v>Donkere Spaarne</v>
          </cell>
          <cell r="C205" t="str">
            <v>12</v>
          </cell>
          <cell r="E205" t="str">
            <v>2011 JG</v>
          </cell>
          <cell r="F205" t="str">
            <v>Haarlem</v>
          </cell>
          <cell r="G205" t="str">
            <v>NL</v>
          </cell>
        </row>
        <row r="206">
          <cell r="A206" t="str">
            <v>Droomkachels B.V.</v>
          </cell>
          <cell r="B206" t="str">
            <v>Ambachtsweg</v>
          </cell>
          <cell r="C206" t="str">
            <v>5513</v>
          </cell>
          <cell r="E206" t="str">
            <v>1271 AL</v>
          </cell>
          <cell r="F206" t="str">
            <v>Huizen</v>
          </cell>
          <cell r="G206" t="str">
            <v>NL</v>
          </cell>
        </row>
        <row r="207">
          <cell r="A207" t="str">
            <v>Gasstookwacht-Centrale BV</v>
          </cell>
          <cell r="B207" t="str">
            <v>Gieterij</v>
          </cell>
          <cell r="C207" t="str">
            <v>44</v>
          </cell>
          <cell r="D207" t="str">
            <v>a</v>
          </cell>
          <cell r="E207" t="str">
            <v>2210 AA</v>
          </cell>
          <cell r="F207" t="str">
            <v>Noordwijkerhout</v>
          </cell>
          <cell r="G207" t="str">
            <v>NL</v>
          </cell>
        </row>
        <row r="208">
          <cell r="A208" t="str">
            <v>Niersman Bouw Haaglanden B.V.</v>
          </cell>
          <cell r="B208" t="str">
            <v>Schietlood</v>
          </cell>
          <cell r="C208" t="str">
            <v>16</v>
          </cell>
          <cell r="E208" t="str">
            <v>2495 AN</v>
          </cell>
          <cell r="F208" t="str">
            <v>s-Gravenhage</v>
          </cell>
          <cell r="G208" t="str">
            <v>NL</v>
          </cell>
        </row>
        <row r="209">
          <cell r="A209" t="str">
            <v>Landal de Heihaas B.V.</v>
          </cell>
          <cell r="B209" t="str">
            <v>VOORTHUIZERSTRAAT</v>
          </cell>
          <cell r="C209" t="str">
            <v>75</v>
          </cell>
          <cell r="E209" t="str">
            <v>3881 SE</v>
          </cell>
          <cell r="F209" t="str">
            <v>PUTTEN</v>
          </cell>
          <cell r="G209" t="str">
            <v>NL</v>
          </cell>
        </row>
        <row r="211">
          <cell r="A211" t="str">
            <v>Van Kessel Exclusief Bouwbedrijf  Vof</v>
          </cell>
          <cell r="B211" t="str">
            <v>Bedafseweg</v>
          </cell>
          <cell r="C211" t="str">
            <v>14</v>
          </cell>
          <cell r="E211" t="str">
            <v>5406 TM</v>
          </cell>
          <cell r="F211" t="str">
            <v>Uden</v>
          </cell>
          <cell r="G211" t="str">
            <v>NL</v>
          </cell>
        </row>
        <row r="212">
          <cell r="A212" t="str">
            <v>Klein Vink recreatie BV</v>
          </cell>
          <cell r="B212" t="str">
            <v>Klein Vink</v>
          </cell>
          <cell r="C212" t="str">
            <v>4</v>
          </cell>
          <cell r="E212" t="str">
            <v>5944 EX</v>
          </cell>
          <cell r="F212" t="str">
            <v>Arcen</v>
          </cell>
          <cell r="G212" t="str">
            <v>NL</v>
          </cell>
        </row>
        <row r="213">
          <cell r="A213" t="str">
            <v>Oudman Trade &amp; Management</v>
          </cell>
          <cell r="B213" t="str">
            <v>Betonstraat</v>
          </cell>
          <cell r="C213" t="str">
            <v>23</v>
          </cell>
          <cell r="E213" t="str">
            <v>8265 BL</v>
          </cell>
          <cell r="F213" t="str">
            <v>Kampen</v>
          </cell>
          <cell r="G213" t="str">
            <v>NL</v>
          </cell>
        </row>
        <row r="214">
          <cell r="A214" t="str">
            <v>Stichting Landgoed de Hellendoornse Berg</v>
          </cell>
          <cell r="B214" t="str">
            <v>Tunnelweg</v>
          </cell>
          <cell r="C214" t="str">
            <v>7</v>
          </cell>
          <cell r="D214" t="str">
            <v>F</v>
          </cell>
          <cell r="E214" t="str">
            <v>7448 RV</v>
          </cell>
          <cell r="F214" t="str">
            <v>Haarle Gem Hellendoorn</v>
          </cell>
          <cell r="G214" t="str">
            <v>NL</v>
          </cell>
        </row>
        <row r="215">
          <cell r="A215" t="str">
            <v>Haardmateriaal.nl</v>
          </cell>
          <cell r="B215" t="str">
            <v>Nijverheidsweg</v>
          </cell>
          <cell r="C215" t="str">
            <v>2</v>
          </cell>
          <cell r="D215" t="str">
            <v>C</v>
          </cell>
          <cell r="E215" t="str">
            <v>7921 JJ</v>
          </cell>
          <cell r="F215" t="str">
            <v>Zuidwolde DR</v>
          </cell>
          <cell r="G215" t="str">
            <v>NL</v>
          </cell>
        </row>
        <row r="216">
          <cell r="A216" t="str">
            <v>J&amp;B Wouters Haarden &amp; Kachels B.V.</v>
          </cell>
          <cell r="B216" t="str">
            <v>Kruisweg</v>
          </cell>
          <cell r="C216" t="str">
            <v>1115</v>
          </cell>
          <cell r="D216" t="str">
            <v>A</v>
          </cell>
          <cell r="E216" t="str">
            <v>2131CV Hoofddorp</v>
          </cell>
          <cell r="G216" t="str">
            <v>NL</v>
          </cell>
        </row>
        <row r="217">
          <cell r="A217" t="str">
            <v>Boxman van Wijk</v>
          </cell>
          <cell r="B217" t="str">
            <v>Binnendamseweg</v>
          </cell>
          <cell r="C217" t="str">
            <v>26</v>
          </cell>
          <cell r="D217" t="str">
            <v>A</v>
          </cell>
          <cell r="E217" t="str">
            <v>3381 GC</v>
          </cell>
          <cell r="F217" t="str">
            <v>Giessenburg</v>
          </cell>
          <cell r="G217" t="str">
            <v>NL</v>
          </cell>
        </row>
        <row r="218">
          <cell r="A218" t="str">
            <v>Daniels Openhaarden</v>
          </cell>
          <cell r="B218" t="str">
            <v>Nachtschadestraat</v>
          </cell>
          <cell r="C218" t="str">
            <v>21</v>
          </cell>
          <cell r="E218" t="str">
            <v>3053 JX</v>
          </cell>
          <cell r="F218" t="str">
            <v>Rotterdam</v>
          </cell>
          <cell r="G218" t="str">
            <v>NL</v>
          </cell>
        </row>
        <row r="219">
          <cell r="A219" t="str">
            <v>Sfeervol Stoken</v>
          </cell>
          <cell r="B219" t="str">
            <v>De Dieze</v>
          </cell>
          <cell r="C219" t="str">
            <v>44</v>
          </cell>
          <cell r="E219" t="str">
            <v>8253PS Dronten</v>
          </cell>
          <cell r="G219" t="str">
            <v>NL</v>
          </cell>
        </row>
        <row r="220">
          <cell r="A220" t="str">
            <v>Jantri</v>
          </cell>
          <cell r="B220" t="str">
            <v>Kalkhoven</v>
          </cell>
          <cell r="C220" t="str">
            <v>18</v>
          </cell>
          <cell r="E220" t="str">
            <v>9351NP Leek</v>
          </cell>
          <cell r="G220" t="str">
            <v>NL</v>
          </cell>
        </row>
        <row r="221">
          <cell r="A221" t="str">
            <v>Buysse natuursteen bvba</v>
          </cell>
          <cell r="B221" t="str">
            <v>Bloemisterijstraat</v>
          </cell>
          <cell r="C221" t="str">
            <v>21</v>
          </cell>
          <cell r="D221" t="str">
            <v>A</v>
          </cell>
          <cell r="E221" t="str">
            <v>8340 Sijsele</v>
          </cell>
          <cell r="G221" t="str">
            <v>NL</v>
          </cell>
        </row>
        <row r="222">
          <cell r="A222" t="str">
            <v>Nuovo</v>
          </cell>
          <cell r="B222" t="str">
            <v>Wormerweg</v>
          </cell>
          <cell r="C222" t="str">
            <v>4</v>
          </cell>
          <cell r="D222" t="str">
            <v>G-7</v>
          </cell>
          <cell r="E222" t="str">
            <v>1311 XB</v>
          </cell>
          <cell r="F222" t="str">
            <v>Almere</v>
          </cell>
          <cell r="G222" t="str">
            <v>NL</v>
          </cell>
        </row>
        <row r="223">
          <cell r="A223" t="str">
            <v>CP Onderhoud Rotterdam</v>
          </cell>
          <cell r="B223" t="str">
            <v>Schaarweide</v>
          </cell>
          <cell r="C223" t="str">
            <v>112</v>
          </cell>
          <cell r="E223" t="str">
            <v>3075RE Rotterdam</v>
          </cell>
          <cell r="G223" t="str">
            <v>NL</v>
          </cell>
        </row>
        <row r="224">
          <cell r="A224" t="str">
            <v>Matim</v>
          </cell>
          <cell r="B224" t="str">
            <v>Ommelseweg</v>
          </cell>
          <cell r="C224" t="str">
            <v>44</v>
          </cell>
          <cell r="D224" t="str">
            <v>B</v>
          </cell>
          <cell r="E224" t="str">
            <v>5721 WV</v>
          </cell>
          <cell r="F224" t="str">
            <v>Asten</v>
          </cell>
          <cell r="G224" t="str">
            <v>NL</v>
          </cell>
        </row>
        <row r="225">
          <cell r="A225" t="str">
            <v>Landal Miggelenberg</v>
          </cell>
          <cell r="B225" t="str">
            <v>Miggelenbergweg</v>
          </cell>
          <cell r="C225" t="str">
            <v>65</v>
          </cell>
          <cell r="E225" t="str">
            <v>7351 BP</v>
          </cell>
          <cell r="F225" t="str">
            <v>Hoenderloo</v>
          </cell>
          <cell r="G225" t="str">
            <v>NL</v>
          </cell>
        </row>
        <row r="226">
          <cell r="A226" t="str">
            <v>De Zeeuwse Haardenspecialist</v>
          </cell>
          <cell r="B226" t="str">
            <v>Anthony Fokkerstraat</v>
          </cell>
          <cell r="C226" t="str">
            <v>28</v>
          </cell>
          <cell r="E226" t="str">
            <v>4462 ET</v>
          </cell>
          <cell r="F226" t="str">
            <v>Goes</v>
          </cell>
          <cell r="G226" t="str">
            <v>NL</v>
          </cell>
        </row>
        <row r="227">
          <cell r="A227" t="str">
            <v>Succes Haard - Centrum voor sfeerwarmte</v>
          </cell>
          <cell r="B227" t="str">
            <v>Gebr. Dealstraat</v>
          </cell>
          <cell r="C227" t="str">
            <v>2</v>
          </cell>
          <cell r="E227" t="str">
            <v>5913 RB</v>
          </cell>
          <cell r="F227" t="str">
            <v>Venlo</v>
          </cell>
          <cell r="G227" t="str">
            <v>NL</v>
          </cell>
        </row>
        <row r="228">
          <cell r="A228" t="str">
            <v>De Haardstede v.o.f.</v>
          </cell>
          <cell r="B228" t="str">
            <v>Wautersweg</v>
          </cell>
          <cell r="C228" t="str">
            <v>2</v>
          </cell>
          <cell r="E228" t="str">
            <v>5993 NR</v>
          </cell>
          <cell r="F228" t="str">
            <v>Maasbree</v>
          </cell>
          <cell r="G228" t="str">
            <v>NL</v>
          </cell>
        </row>
        <row r="229">
          <cell r="A229" t="str">
            <v>Heerkens Fireplaces BV</v>
          </cell>
          <cell r="B229" t="str">
            <v>Bedrijfsstraat</v>
          </cell>
          <cell r="C229" t="str">
            <v>14</v>
          </cell>
          <cell r="E229" t="str">
            <v>5391LR Nuland</v>
          </cell>
          <cell r="G229" t="str">
            <v>NL</v>
          </cell>
        </row>
        <row r="230">
          <cell r="A230" t="str">
            <v>Pelletplus.nl</v>
          </cell>
          <cell r="B230" t="str">
            <v>Meppelerweg</v>
          </cell>
          <cell r="C230" t="str">
            <v>51</v>
          </cell>
          <cell r="E230" t="str">
            <v>7921VN Zuidwolde</v>
          </cell>
          <cell r="F230" t="str">
            <v>DR</v>
          </cell>
          <cell r="G230" t="str">
            <v>NL</v>
          </cell>
        </row>
        <row r="231">
          <cell r="A231" t="str">
            <v>Bouwcenter Helmondse Bouwmaterialen</v>
          </cell>
          <cell r="B231" t="str">
            <v>Middendijk</v>
          </cell>
          <cell r="C231" t="str">
            <v>26</v>
          </cell>
          <cell r="E231" t="str">
            <v>5705 CC</v>
          </cell>
          <cell r="F231" t="str">
            <v>Helmond</v>
          </cell>
          <cell r="G231" t="str">
            <v>NL</v>
          </cell>
        </row>
        <row r="232">
          <cell r="A232" t="str">
            <v>Kachelh–s Fryslƒn ït Stokertje</v>
          </cell>
          <cell r="B232" t="str">
            <v>Slachtedyk</v>
          </cell>
          <cell r="C232" t="str">
            <v>1</v>
          </cell>
          <cell r="E232" t="str">
            <v>8501ZA Joure</v>
          </cell>
          <cell r="G232" t="str">
            <v>NL</v>
          </cell>
        </row>
        <row r="233">
          <cell r="A233" t="str">
            <v>Landal Orveltermarke</v>
          </cell>
          <cell r="B233" t="str">
            <v>Mr. J.B.. Kamweg</v>
          </cell>
          <cell r="C233" t="str">
            <v>3</v>
          </cell>
          <cell r="E233" t="str">
            <v>9439 TD</v>
          </cell>
          <cell r="F233" t="str">
            <v>Witteveen</v>
          </cell>
          <cell r="G233" t="str">
            <v>NL</v>
          </cell>
        </row>
        <row r="234">
          <cell r="A234" t="str">
            <v>Haard &amp; Design Veenendaal</v>
          </cell>
          <cell r="B234" t="str">
            <v>Kerkewijk</v>
          </cell>
          <cell r="C234" t="str">
            <v>261</v>
          </cell>
          <cell r="E234" t="str">
            <v>3904 JD</v>
          </cell>
          <cell r="F234" t="str">
            <v>Veenendaal</v>
          </cell>
          <cell r="G234" t="str">
            <v>NL</v>
          </cell>
        </row>
        <row r="235">
          <cell r="A235" t="str">
            <v>Van Dam wonen en slapen</v>
          </cell>
          <cell r="B235" t="str">
            <v>Tielsestraat</v>
          </cell>
          <cell r="C235" t="str">
            <v>103</v>
          </cell>
          <cell r="E235" t="str">
            <v>4041 CS</v>
          </cell>
          <cell r="F235" t="str">
            <v>Kesteren</v>
          </cell>
          <cell r="G235" t="str">
            <v>NL</v>
          </cell>
        </row>
        <row r="236">
          <cell r="A236" t="str">
            <v>NivoMeubel BV</v>
          </cell>
          <cell r="B236" t="str">
            <v>Mastmakerstraat</v>
          </cell>
          <cell r="C236" t="str">
            <v>14</v>
          </cell>
          <cell r="E236" t="str">
            <v>9403 VH</v>
          </cell>
          <cell r="F236" t="str">
            <v>Assen</v>
          </cell>
          <cell r="G236" t="str">
            <v>NL</v>
          </cell>
        </row>
        <row r="237">
          <cell r="A237" t="str">
            <v>Kachels &amp; Haarden Wintermans Eersel</v>
          </cell>
          <cell r="B237" t="str">
            <v>Koperslager</v>
          </cell>
          <cell r="C237" t="str">
            <v>10</v>
          </cell>
          <cell r="E237" t="str">
            <v>5521 DE</v>
          </cell>
          <cell r="F237" t="str">
            <v>Eersel</v>
          </cell>
          <cell r="G237" t="str">
            <v>NL</v>
          </cell>
        </row>
        <row r="238">
          <cell r="A238" t="str">
            <v>Villa park 't Veenmeer</v>
          </cell>
          <cell r="B238" t="str">
            <v>Zuidlaarderweg</v>
          </cell>
          <cell r="C238" t="str">
            <v>37</v>
          </cell>
          <cell r="E238" t="str">
            <v>9482 TV</v>
          </cell>
          <cell r="F238" t="str">
            <v>Tynaarlo</v>
          </cell>
          <cell r="G238" t="str">
            <v>NL</v>
          </cell>
        </row>
        <row r="239">
          <cell r="A239" t="str">
            <v>Eigenaren Oesterdam Waterrijk Tholen</v>
          </cell>
          <cell r="B239" t="str">
            <v>Oesterdam</v>
          </cell>
          <cell r="C239" t="str">
            <v>3</v>
          </cell>
          <cell r="E239" t="str">
            <v>4691 PV</v>
          </cell>
          <cell r="F239" t="str">
            <v>Tholen</v>
          </cell>
          <cell r="G239" t="str">
            <v>NL</v>
          </cell>
        </row>
        <row r="240">
          <cell r="A240" t="str">
            <v>VBK Retail BV</v>
          </cell>
          <cell r="B240" t="str">
            <v>De Striptekenaar</v>
          </cell>
          <cell r="C240" t="str">
            <v>34-</v>
          </cell>
          <cell r="D240" t="str">
            <v>A</v>
          </cell>
          <cell r="E240" t="str">
            <v>1336 CM</v>
          </cell>
          <cell r="F240" t="str">
            <v>Almere</v>
          </cell>
          <cell r="G240" t="str">
            <v>NL</v>
          </cell>
        </row>
        <row r="241">
          <cell r="A241" t="str">
            <v>'t Smidje Haarden &amp; Kachels</v>
          </cell>
          <cell r="B241" t="str">
            <v>Galderseweg</v>
          </cell>
          <cell r="C241" t="str">
            <v>94</v>
          </cell>
          <cell r="E241" t="str">
            <v>4855 AJ</v>
          </cell>
          <cell r="F241" t="str">
            <v>Galder</v>
          </cell>
          <cell r="G241" t="str">
            <v>NL</v>
          </cell>
        </row>
        <row r="242">
          <cell r="A242" t="str">
            <v>Hout &amp; Haard</v>
          </cell>
          <cell r="B242" t="str">
            <v>Buijs Ballotstraat</v>
          </cell>
          <cell r="C242" t="str">
            <v>15</v>
          </cell>
          <cell r="E242" t="str">
            <v>2693 BD</v>
          </cell>
          <cell r="F242" t="str">
            <v>'s-Gravenzande</v>
          </cell>
          <cell r="G242" t="str">
            <v>NL</v>
          </cell>
        </row>
        <row r="243">
          <cell r="A243" t="str">
            <v>RAAB KARCHER COEVORDEN</v>
          </cell>
          <cell r="B243" t="str">
            <v>Printer</v>
          </cell>
          <cell r="C243" t="str">
            <v>33</v>
          </cell>
          <cell r="E243" t="str">
            <v>7741 ME</v>
          </cell>
          <cell r="F243" t="str">
            <v>Coevorden</v>
          </cell>
          <cell r="G243" t="str">
            <v>NL</v>
          </cell>
        </row>
        <row r="244">
          <cell r="A244" t="str">
            <v>E-tailer group</v>
          </cell>
          <cell r="B244" t="str">
            <v>Columbusweg</v>
          </cell>
          <cell r="C244" t="str">
            <v>19</v>
          </cell>
          <cell r="D244" t="str">
            <v>B</v>
          </cell>
          <cell r="E244" t="str">
            <v>4462HA Goes</v>
          </cell>
          <cell r="G244" t="str">
            <v>NL</v>
          </cell>
        </row>
        <row r="245">
          <cell r="A245" t="str">
            <v>Kachelhuis Keemers</v>
          </cell>
          <cell r="B245" t="str">
            <v>Hoofdstraat</v>
          </cell>
          <cell r="C245" t="str">
            <v>18</v>
          </cell>
          <cell r="E245" t="str">
            <v>7625 PD</v>
          </cell>
          <cell r="F245" t="str">
            <v>Zenderen</v>
          </cell>
          <cell r="G245" t="str">
            <v>NL</v>
          </cell>
        </row>
        <row r="246">
          <cell r="A246" t="str">
            <v>CB-tec GmbH</v>
          </cell>
          <cell r="B246" t="str">
            <v>Behaimweg</v>
          </cell>
          <cell r="C246" t="str">
            <v>2</v>
          </cell>
          <cell r="E246" t="str">
            <v>87781 Ungerhausen</v>
          </cell>
          <cell r="G246" t="str">
            <v>DE</v>
          </cell>
        </row>
        <row r="247">
          <cell r="A247" t="str">
            <v>Beerten Haardendesign</v>
          </cell>
          <cell r="B247" t="str">
            <v>Rondven</v>
          </cell>
          <cell r="C247" t="str">
            <v>7</v>
          </cell>
          <cell r="E247" t="str">
            <v>6026 PX</v>
          </cell>
          <cell r="F247" t="str">
            <v>Maarheeze</v>
          </cell>
          <cell r="G247" t="str">
            <v>NL</v>
          </cell>
        </row>
        <row r="248">
          <cell r="A248" t="str">
            <v>Haardonline</v>
          </cell>
          <cell r="B248" t="str">
            <v>Bijsterhuizen</v>
          </cell>
          <cell r="C248" t="str">
            <v>3042</v>
          </cell>
          <cell r="E248" t="str">
            <v>6604 LR</v>
          </cell>
          <cell r="F248" t="str">
            <v>Wijchen</v>
          </cell>
          <cell r="G248" t="str">
            <v>NL</v>
          </cell>
        </row>
        <row r="249">
          <cell r="A249" t="str">
            <v>Komfyr sfeerhaarden</v>
          </cell>
          <cell r="B249" t="str">
            <v>Harskamperweg</v>
          </cell>
          <cell r="C249" t="str">
            <v>56</v>
          </cell>
          <cell r="E249" t="str">
            <v>3774 JP</v>
          </cell>
          <cell r="F249" t="str">
            <v>Kootwijkerbroek</v>
          </cell>
          <cell r="G249" t="str">
            <v>NL</v>
          </cell>
        </row>
        <row r="250">
          <cell r="A250" t="str">
            <v>Bouwcenter Nelemans Etten-Leur</v>
          </cell>
          <cell r="B250" t="str">
            <v>Capucienenbos</v>
          </cell>
          <cell r="C250" t="str">
            <v>4</v>
          </cell>
          <cell r="E250" t="str">
            <v>2328 Meerle</v>
          </cell>
          <cell r="G250" t="str">
            <v>BE</v>
          </cell>
        </row>
        <row r="251">
          <cell r="A251" t="str">
            <v>van Alphen Openhaarden   B.V.</v>
          </cell>
          <cell r="B251" t="str">
            <v>Hillegondastraat</v>
          </cell>
          <cell r="C251" t="str">
            <v>17</v>
          </cell>
          <cell r="D251" t="str">
            <v>a</v>
          </cell>
          <cell r="E251" t="str">
            <v>3051 PA</v>
          </cell>
          <cell r="F251" t="str">
            <v>Rotterdam Hillegersberg</v>
          </cell>
          <cell r="G251" t="str">
            <v>NL</v>
          </cell>
        </row>
        <row r="252">
          <cell r="A252" t="str">
            <v>STOVEPARTS.NL</v>
          </cell>
          <cell r="B252" t="str">
            <v>Raadhuisstraat</v>
          </cell>
          <cell r="C252" t="str">
            <v>100</v>
          </cell>
          <cell r="E252" t="str">
            <v>1541 JE</v>
          </cell>
          <cell r="F252" t="str">
            <v>Koog aan de Zaan</v>
          </cell>
          <cell r="G252" t="str">
            <v>NL</v>
          </cell>
        </row>
        <row r="253">
          <cell r="A253" t="str">
            <v>Haard &amp; Zo</v>
          </cell>
          <cell r="B253" t="str">
            <v>Roodborststraat</v>
          </cell>
          <cell r="C253" t="str">
            <v>26</v>
          </cell>
          <cell r="D253" t="str">
            <v>R</v>
          </cell>
          <cell r="E253" t="str">
            <v>2353 HB</v>
          </cell>
          <cell r="F253" t="str">
            <v>Leiderdorp</v>
          </cell>
          <cell r="G253" t="str">
            <v>NL</v>
          </cell>
        </row>
        <row r="254">
          <cell r="A254" t="str">
            <v>Gas.be</v>
          </cell>
          <cell r="B254" t="str">
            <v>Masuiplein</v>
          </cell>
          <cell r="C254" t="str">
            <v>29</v>
          </cell>
          <cell r="E254" t="str">
            <v>1000 BRUSSEL</v>
          </cell>
          <cell r="G254" t="str">
            <v>BE</v>
          </cell>
        </row>
        <row r="255">
          <cell r="A255" t="str">
            <v>DHS Domestic Heating Solutions BV</v>
          </cell>
          <cell r="B255" t="str">
            <v>Verbindingsweg</v>
          </cell>
          <cell r="C255" t="str">
            <v>17</v>
          </cell>
          <cell r="E255" t="str">
            <v>9781 DA</v>
          </cell>
          <cell r="F255" t="str">
            <v>Bedumm</v>
          </cell>
          <cell r="G255" t="str">
            <v>NL</v>
          </cell>
        </row>
      </sheetData>
    </sheetDataSet>
  </externalBook>
</externalLink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4"/>
  <sheetViews>
    <sheetView tabSelected="1" topLeftCell="A24" workbookViewId="0">
      <selection activeCell="E34" sqref="E34"/>
    </sheetView>
  </sheetViews>
  <sheetFormatPr defaultRowHeight="14.4" x14ac:dyDescent="0.55000000000000004"/>
  <cols>
    <col min="1" max="1" width="16.15625" style="1" customWidth="1"/>
    <col min="2" max="2" width="46.41796875" style="1" bestFit="1" customWidth="1"/>
    <col min="3" max="3" width="9.41796875" bestFit="1" customWidth="1"/>
    <col min="4" max="4" width="9.68359375" bestFit="1" customWidth="1"/>
    <col min="5" max="5" width="15.15625" bestFit="1" customWidth="1"/>
    <col min="6" max="6" width="15.3671875" bestFit="1" customWidth="1"/>
    <col min="7" max="7" width="26.26171875" bestFit="1" customWidth="1"/>
    <col min="8" max="8" width="13.62890625" bestFit="1" customWidth="1"/>
    <col min="9" max="9" width="10.578125" customWidth="1"/>
    <col min="10" max="10" width="21.7890625" customWidth="1"/>
    <col min="11" max="11" width="20.68359375" bestFit="1" customWidth="1"/>
    <col min="12" max="12" width="10.41796875" customWidth="1"/>
    <col min="13" max="13" width="14.68359375" bestFit="1" customWidth="1"/>
    <col min="14" max="14" width="7.26171875" bestFit="1" customWidth="1"/>
    <col min="15" max="16" width="10.41796875" bestFit="1" customWidth="1"/>
    <col min="17" max="17" width="10" customWidth="1"/>
    <col min="18" max="18" width="14" customWidth="1"/>
    <col min="19" max="19" width="13.83984375" customWidth="1"/>
    <col min="20" max="20" width="17.83984375" customWidth="1"/>
    <col min="21" max="21" width="14.578125" style="15" customWidth="1"/>
  </cols>
  <sheetData>
    <row r="1" spans="1:21" s="3" customFormat="1" x14ac:dyDescent="0.55000000000000004">
      <c r="A1" s="2"/>
      <c r="B1" s="2"/>
      <c r="U1" s="12"/>
    </row>
    <row r="2" spans="1:21" s="7" customFormat="1" ht="14.7" thickBot="1" x14ac:dyDescent="0.6">
      <c r="A2" s="6" t="s">
        <v>0</v>
      </c>
      <c r="B2" s="6" t="s">
        <v>34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18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7" t="s">
        <v>17</v>
      </c>
      <c r="U2" s="13" t="s">
        <v>32</v>
      </c>
    </row>
    <row r="3" spans="1:21" s="5" customFormat="1" x14ac:dyDescent="0.55000000000000004">
      <c r="A3" s="4" t="s">
        <v>287</v>
      </c>
      <c r="B3" s="9" t="s">
        <v>19</v>
      </c>
      <c r="E3" s="8" t="s">
        <v>19</v>
      </c>
      <c r="F3" s="8" t="s">
        <v>20</v>
      </c>
      <c r="L3" s="8" t="s">
        <v>19</v>
      </c>
      <c r="M3" s="8" t="s">
        <v>19</v>
      </c>
      <c r="U3" s="14" t="s">
        <v>33</v>
      </c>
    </row>
    <row r="4" spans="1:21" s="10" customFormat="1" x14ac:dyDescent="0.55000000000000004">
      <c r="A4" s="10" t="s">
        <v>21</v>
      </c>
      <c r="B4" s="10" t="s">
        <v>22</v>
      </c>
      <c r="F4" s="11">
        <v>1</v>
      </c>
      <c r="G4" s="10" t="s">
        <v>23</v>
      </c>
      <c r="H4" s="10">
        <v>4</v>
      </c>
      <c r="I4" s="10">
        <v>-6</v>
      </c>
      <c r="J4" s="10" t="s">
        <v>24</v>
      </c>
      <c r="K4" s="10" t="s">
        <v>25</v>
      </c>
      <c r="L4" s="10" t="s">
        <v>26</v>
      </c>
      <c r="O4" s="10" t="s">
        <v>27</v>
      </c>
      <c r="P4" s="10" t="s">
        <v>28</v>
      </c>
      <c r="Q4" s="10" t="s">
        <v>29</v>
      </c>
      <c r="R4" s="10" t="s">
        <v>30</v>
      </c>
      <c r="S4" s="10" t="s">
        <v>31</v>
      </c>
      <c r="T4" s="10">
        <v>123</v>
      </c>
      <c r="U4" s="10">
        <v>1</v>
      </c>
    </row>
    <row r="5" spans="1:21" x14ac:dyDescent="0.55000000000000004">
      <c r="B5" s="1" t="s">
        <v>35</v>
      </c>
    </row>
    <row r="6" spans="1:21" x14ac:dyDescent="0.55000000000000004">
      <c r="B6" s="1" t="s">
        <v>36</v>
      </c>
      <c r="G6" t="str">
        <f>VLOOKUP(B6,[1]Blad1!$A$1:$G$65536,2,FALSE)</f>
        <v>Visbystraat</v>
      </c>
      <c r="H6" t="str">
        <f>VLOOKUP(B6,[1]Blad1!$A$1:$G$65536,3,FALSE)</f>
        <v>5</v>
      </c>
      <c r="J6" t="str">
        <f>VLOOKUP(B6,[1]Blad1!$A$1:$G$65536,5,FALSE)</f>
        <v>7418 BE</v>
      </c>
      <c r="K6" t="str">
        <f>VLOOKUP(B6,[1]Blad1!$A$1:$G$65536,6,FALSE)</f>
        <v>Deventer</v>
      </c>
      <c r="L6" t="str">
        <f>VLOOKUP(B6,[1]Blad1!$A$1:$G$65536,7,FALSE)</f>
        <v>NL</v>
      </c>
    </row>
    <row r="7" spans="1:21" x14ac:dyDescent="0.55000000000000004">
      <c r="B7" s="1" t="s">
        <v>37</v>
      </c>
      <c r="G7" t="str">
        <f>VLOOKUP(B7,[1]Blad1!$A$1:$G$65536,2,FALSE)</f>
        <v>Nieuwe Havenweg</v>
      </c>
      <c r="H7" t="str">
        <f>VLOOKUP(B7,[1]Blad1!$A$1:$G$65536,3,FALSE)</f>
        <v>7-13</v>
      </c>
      <c r="J7" t="str">
        <f>VLOOKUP(B7,[1]Blad1!$A$1:$G$65536,5,FALSE)</f>
        <v>1216 BG</v>
      </c>
      <c r="K7" t="str">
        <f>VLOOKUP(B7,[1]Blad1!$A$1:$G$65536,6,FALSE)</f>
        <v>Hilversum</v>
      </c>
      <c r="L7" t="str">
        <f>VLOOKUP(B7,[1]Blad1!$A$1:$G$65536,7,FALSE)</f>
        <v>NL</v>
      </c>
    </row>
    <row r="8" spans="1:21" x14ac:dyDescent="0.55000000000000004">
      <c r="B8" s="1" t="s">
        <v>38</v>
      </c>
      <c r="G8" t="str">
        <f>VLOOKUP(B8,[1]Blad1!$A$1:$G$65536,2,FALSE)</f>
        <v>VLASBLOMWEG</v>
      </c>
      <c r="H8" t="str">
        <f>VLOOKUP(B8,[1]Blad1!$A$1:$G$65536,3,FALSE)</f>
        <v>24</v>
      </c>
      <c r="J8" t="str">
        <f>VLOOKUP(B8,[1]Blad1!$A$1:$G$65536,5,FALSE)</f>
        <v>1521 PW</v>
      </c>
      <c r="K8" t="str">
        <f>VLOOKUP(B8,[1]Blad1!$A$1:$G$65536,6,FALSE)</f>
        <v>Wormerveer</v>
      </c>
      <c r="L8" t="str">
        <f>VLOOKUP(B8,[1]Blad1!$A$1:$G$65536,7,FALSE)</f>
        <v>NL</v>
      </c>
    </row>
    <row r="9" spans="1:21" x14ac:dyDescent="0.55000000000000004">
      <c r="B9" s="1" t="s">
        <v>39</v>
      </c>
      <c r="G9" t="str">
        <f>VLOOKUP(B9,[1]Blad1!$A$1:$G$65536,2,FALSE)</f>
        <v>Boshoffweg</v>
      </c>
      <c r="H9" t="str">
        <f>VLOOKUP(B9,[1]Blad1!$A$1:$G$65536,3,FALSE)</f>
        <v>6</v>
      </c>
      <c r="J9" t="str">
        <f>VLOOKUP(B9,[1]Blad1!$A$1:$G$65536,5,FALSE)</f>
        <v>6961 LD</v>
      </c>
      <c r="K9" t="str">
        <f>VLOOKUP(B9,[1]Blad1!$A$1:$G$65536,6,FALSE)</f>
        <v>Eerbeek</v>
      </c>
      <c r="L9" t="str">
        <f>VLOOKUP(B9,[1]Blad1!$A$1:$G$65536,7,FALSE)</f>
        <v>NL</v>
      </c>
    </row>
    <row r="10" spans="1:21" x14ac:dyDescent="0.55000000000000004">
      <c r="B10" s="1" t="s">
        <v>40</v>
      </c>
      <c r="G10" t="str">
        <f>VLOOKUP(B10,[1]Blad1!$A$1:$G$65536,2,FALSE)</f>
        <v>LORENZSTRAAT</v>
      </c>
      <c r="H10" t="str">
        <f>VLOOKUP(B10,[1]Blad1!$A$1:$G$65536,3,FALSE)</f>
        <v>13</v>
      </c>
      <c r="J10" t="str">
        <f>VLOOKUP(B10,[1]Blad1!$A$1:$G$65536,5,FALSE)</f>
        <v>3846 AV</v>
      </c>
      <c r="K10" t="str">
        <f>VLOOKUP(B10,[1]Blad1!$A$1:$G$65536,6,FALSE)</f>
        <v>Harderwijk</v>
      </c>
      <c r="L10" t="str">
        <f>VLOOKUP(B10,[1]Blad1!$A$1:$G$65536,7,FALSE)</f>
        <v>NL</v>
      </c>
    </row>
    <row r="11" spans="1:21" x14ac:dyDescent="0.55000000000000004">
      <c r="B11" s="1" t="s">
        <v>41</v>
      </c>
      <c r="G11" t="str">
        <f>VLOOKUP(B11,[1]Blad1!$A$1:$G$65536,2,FALSE)</f>
        <v>Erperheidestraat</v>
      </c>
      <c r="H11" t="str">
        <f>VLOOKUP(B11,[1]Blad1!$A$1:$G$65536,3,FALSE)</f>
        <v>2</v>
      </c>
      <c r="J11" t="str">
        <f>VLOOKUP(B11,[1]Blad1!$A$1:$G$65536,5,FALSE)</f>
        <v>B 3990</v>
      </c>
      <c r="K11" t="str">
        <f>VLOOKUP(B11,[1]Blad1!$A$1:$G$65536,6,FALSE)</f>
        <v>PEER    BELGIE</v>
      </c>
      <c r="L11" t="str">
        <f>VLOOKUP(B11,[1]Blad1!$A$1:$G$65536,7,FALSE)</f>
        <v>BE</v>
      </c>
    </row>
    <row r="12" spans="1:21" x14ac:dyDescent="0.55000000000000004">
      <c r="B12" s="1" t="s">
        <v>42</v>
      </c>
      <c r="G12" t="str">
        <f>VLOOKUP(B12,[1]Blad1!$A$1:$G$65536,2,FALSE)</f>
        <v>Hofweg</v>
      </c>
      <c r="H12" t="str">
        <f>VLOOKUP(B12,[1]Blad1!$A$1:$G$65536,3,FALSE)</f>
        <v>10</v>
      </c>
      <c r="J12" t="str">
        <f>VLOOKUP(B12,[1]Blad1!$A$1:$G$65536,5,FALSE)</f>
        <v>3208 LE</v>
      </c>
      <c r="K12" t="str">
        <f>VLOOKUP(B12,[1]Blad1!$A$1:$G$65536,6,FALSE)</f>
        <v>Spijkenisse</v>
      </c>
      <c r="L12" t="str">
        <f>VLOOKUP(B12,[1]Blad1!$A$1:$G$65536,7,FALSE)</f>
        <v>NL</v>
      </c>
    </row>
    <row r="13" spans="1:21" x14ac:dyDescent="0.55000000000000004">
      <c r="B13" s="1" t="s">
        <v>43</v>
      </c>
      <c r="G13" t="str">
        <f>VLOOKUP(B13,[1]Blad1!$A$1:$G$65536,2,FALSE)</f>
        <v>AALSVOORT</v>
      </c>
      <c r="H13" t="str">
        <f>VLOOKUP(B13,[1]Blad1!$A$1:$G$65536,3,FALSE)</f>
        <v>16</v>
      </c>
      <c r="J13" t="str">
        <f>VLOOKUP(B13,[1]Blad1!$A$1:$G$65536,5,FALSE)</f>
        <v>7241 MA</v>
      </c>
      <c r="K13" t="str">
        <f>VLOOKUP(B13,[1]Blad1!$A$1:$G$65536,6,FALSE)</f>
        <v>LOCHEM</v>
      </c>
      <c r="L13" t="str">
        <f>VLOOKUP(B13,[1]Blad1!$A$1:$G$65536,7,FALSE)</f>
        <v>NL</v>
      </c>
    </row>
    <row r="14" spans="1:21" x14ac:dyDescent="0.55000000000000004">
      <c r="B14" s="1" t="s">
        <v>44</v>
      </c>
      <c r="G14" t="str">
        <f>VLOOKUP(B14,[1]Blad1!$A$1:$G$65536,2,FALSE)</f>
        <v>TANKVAL</v>
      </c>
      <c r="H14" t="str">
        <f>VLOOKUP(B14,[1]Blad1!$A$1:$G$65536,3,FALSE)</f>
        <v>23</v>
      </c>
      <c r="J14" t="str">
        <f>VLOOKUP(B14,[1]Blad1!$A$1:$G$65536,5,FALSE)</f>
        <v>2408 ZC</v>
      </c>
      <c r="K14" t="str">
        <f>VLOOKUP(B14,[1]Blad1!$A$1:$G$65536,6,FALSE)</f>
        <v>Alphen aan den Rijn</v>
      </c>
      <c r="L14" t="str">
        <f>VLOOKUP(B14,[1]Blad1!$A$1:$G$65536,7,FALSE)</f>
        <v>NL</v>
      </c>
    </row>
    <row r="15" spans="1:21" x14ac:dyDescent="0.55000000000000004">
      <c r="B15" s="1" t="s">
        <v>45</v>
      </c>
      <c r="G15" t="str">
        <f>VLOOKUP(B15,[1]Blad1!$A$1:$G$65536,2,FALSE)</f>
        <v>Postbus</v>
      </c>
      <c r="H15" t="str">
        <f>VLOOKUP(B15,[1]Blad1!$A$1:$G$65536,3,FALSE)</f>
        <v>1039</v>
      </c>
      <c r="J15" t="str">
        <f>VLOOKUP(B15,[1]Blad1!$A$1:$G$65536,5,FALSE)</f>
        <v>1810 KA</v>
      </c>
      <c r="K15" t="str">
        <f>VLOOKUP(B15,[1]Blad1!$A$1:$G$65536,6,FALSE)</f>
        <v>ALKMAAR</v>
      </c>
      <c r="L15" t="str">
        <f>VLOOKUP(B15,[1]Blad1!$A$1:$G$65536,7,FALSE)</f>
        <v>NL</v>
      </c>
    </row>
    <row r="16" spans="1:21" x14ac:dyDescent="0.55000000000000004">
      <c r="B16" s="1" t="s">
        <v>46</v>
      </c>
      <c r="G16" t="str">
        <f>VLOOKUP(B16,[1]Blad1!$A$1:$G$65536,2,FALSE)</f>
        <v>Postbus</v>
      </c>
      <c r="H16" t="str">
        <f>VLOOKUP(B16,[1]Blad1!$A$1:$G$65536,3,FALSE)</f>
        <v>63</v>
      </c>
      <c r="J16" t="str">
        <f>VLOOKUP(B16,[1]Blad1!$A$1:$G$65536,5,FALSE)</f>
        <v>6900 AB</v>
      </c>
      <c r="K16" t="str">
        <f>VLOOKUP(B16,[1]Blad1!$A$1:$G$65536,6,FALSE)</f>
        <v>ZEVENAAR</v>
      </c>
      <c r="L16" t="str">
        <f>VLOOKUP(B16,[1]Blad1!$A$1:$G$65536,7,FALSE)</f>
        <v>NL</v>
      </c>
    </row>
    <row r="17" spans="2:12" x14ac:dyDescent="0.55000000000000004">
      <c r="B17" s="1" t="s">
        <v>47</v>
      </c>
      <c r="G17" t="str">
        <f>VLOOKUP(B17,[1]Blad1!$A$1:$G$65536,2,FALSE)</f>
        <v>Akerdijk</v>
      </c>
      <c r="H17" t="str">
        <f>VLOOKUP(B17,[1]Blad1!$A$1:$G$65536,3,FALSE)</f>
        <v>232</v>
      </c>
      <c r="J17" t="str">
        <f>VLOOKUP(B17,[1]Blad1!$A$1:$G$65536,5,FALSE)</f>
        <v>1171 RA</v>
      </c>
      <c r="K17" t="str">
        <f>VLOOKUP(B17,[1]Blad1!$A$1:$G$65536,6,FALSE)</f>
        <v>BADHOEVEDORP</v>
      </c>
      <c r="L17" t="str">
        <f>VLOOKUP(B17,[1]Blad1!$A$1:$G$65536,7,FALSE)</f>
        <v>NL</v>
      </c>
    </row>
    <row r="18" spans="2:12" x14ac:dyDescent="0.55000000000000004">
      <c r="B18" s="1" t="s">
        <v>48</v>
      </c>
      <c r="G18" t="str">
        <f>VLOOKUP(B18,[1]Blad1!$A$1:$G$65536,2,FALSE)</f>
        <v>LOMMERBERGEN</v>
      </c>
      <c r="H18" t="str">
        <f>VLOOKUP(B18,[1]Blad1!$A$1:$G$65536,3,FALSE)</f>
        <v>1</v>
      </c>
      <c r="J18" t="str">
        <f>VLOOKUP(B18,[1]Blad1!$A$1:$G$65536,5,FALSE)</f>
        <v>5953 TT</v>
      </c>
      <c r="K18" t="str">
        <f>VLOOKUP(B18,[1]Blad1!$A$1:$G$65536,6,FALSE)</f>
        <v>Reuver</v>
      </c>
      <c r="L18" t="str">
        <f>VLOOKUP(B18,[1]Blad1!$A$1:$G$65536,7,FALSE)</f>
        <v>NL</v>
      </c>
    </row>
    <row r="19" spans="2:12" x14ac:dyDescent="0.55000000000000004">
      <c r="B19" s="1" t="s">
        <v>49</v>
      </c>
      <c r="G19" t="str">
        <f>VLOOKUP(B19,[1]Blad1!$A$1:$G$65536,2,FALSE)</f>
        <v>SCHELPHOEK</v>
      </c>
      <c r="H19" t="str">
        <f>VLOOKUP(B19,[1]Blad1!$A$1:$G$65536,3,FALSE)</f>
        <v>2</v>
      </c>
      <c r="J19" t="str">
        <f>VLOOKUP(B19,[1]Blad1!$A$1:$G$65536,5,FALSE)</f>
        <v>1621 MK</v>
      </c>
      <c r="K19" t="str">
        <f>VLOOKUP(B19,[1]Blad1!$A$1:$G$65536,6,FALSE)</f>
        <v>Hoorn NH</v>
      </c>
      <c r="L19" t="str">
        <f>VLOOKUP(B19,[1]Blad1!$A$1:$G$65536,7,FALSE)</f>
        <v>NL</v>
      </c>
    </row>
    <row r="20" spans="2:12" x14ac:dyDescent="0.55000000000000004">
      <c r="B20" s="1" t="s">
        <v>50</v>
      </c>
      <c r="G20" t="str">
        <f>VLOOKUP(B20,[1]Blad1!$A$1:$G$65536,2,FALSE)</f>
        <v>INDUSTRIEWEG</v>
      </c>
      <c r="H20" t="str">
        <f>VLOOKUP(B20,[1]Blad1!$A$1:$G$65536,3,FALSE)</f>
        <v>63</v>
      </c>
      <c r="J20" t="str">
        <f>VLOOKUP(B20,[1]Blad1!$A$1:$G$65536,5,FALSE)</f>
        <v>3641 RK</v>
      </c>
      <c r="K20" t="str">
        <f>VLOOKUP(B20,[1]Blad1!$A$1:$G$65536,6,FALSE)</f>
        <v>MIJDRECHT</v>
      </c>
      <c r="L20" t="str">
        <f>VLOOKUP(B20,[1]Blad1!$A$1:$G$65536,7,FALSE)</f>
        <v>NL</v>
      </c>
    </row>
    <row r="21" spans="2:12" x14ac:dyDescent="0.55000000000000004">
      <c r="B21" s="1" t="s">
        <v>51</v>
      </c>
      <c r="G21" t="str">
        <f>VLOOKUP(B21,[1]Blad1!$A$1:$G$65536,2,FALSE)</f>
        <v>WAALSEWEG</v>
      </c>
      <c r="H21" t="str">
        <f>VLOOKUP(B21,[1]Blad1!$A$1:$G$65536,3,FALSE)</f>
        <v>28</v>
      </c>
      <c r="J21" t="str">
        <f>VLOOKUP(B21,[1]Blad1!$A$1:$G$65536,5,FALSE)</f>
        <v>3999 NS</v>
      </c>
      <c r="K21" t="str">
        <f>VLOOKUP(B21,[1]Blad1!$A$1:$G$65536,6,FALSE)</f>
        <v>TULL EN 'T WAAL</v>
      </c>
      <c r="L21" t="str">
        <f>VLOOKUP(B21,[1]Blad1!$A$1:$G$65536,7,FALSE)</f>
        <v>NL</v>
      </c>
    </row>
    <row r="22" spans="2:12" x14ac:dyDescent="0.55000000000000004">
      <c r="B22" s="1" t="s">
        <v>52</v>
      </c>
      <c r="G22" t="str">
        <f>VLOOKUP(B22,[1]Blad1!$A$1:$G$65536,2,FALSE)</f>
        <v>BENNEBROEKERDIJK</v>
      </c>
      <c r="H22" t="str">
        <f>VLOOKUP(B22,[1]Blad1!$A$1:$G$65536,3,FALSE)</f>
        <v>244</v>
      </c>
      <c r="J22" t="str">
        <f>VLOOKUP(B22,[1]Blad1!$A$1:$G$65536,5,FALSE)</f>
        <v>2142 LE</v>
      </c>
      <c r="K22" t="str">
        <f>VLOOKUP(B22,[1]Blad1!$A$1:$G$65536,6,FALSE)</f>
        <v>Cruquius</v>
      </c>
      <c r="L22" t="str">
        <f>VLOOKUP(B22,[1]Blad1!$A$1:$G$65536,7,FALSE)</f>
        <v>NL</v>
      </c>
    </row>
    <row r="23" spans="2:12" x14ac:dyDescent="0.55000000000000004">
      <c r="B23" s="1" t="s">
        <v>53</v>
      </c>
      <c r="G23" t="str">
        <f>VLOOKUP(B23,[1]Blad1!$A$1:$G$65536,2,FALSE)</f>
        <v>POSTBUS</v>
      </c>
      <c r="H23" t="str">
        <f>VLOOKUP(B23,[1]Blad1!$A$1:$G$65536,3,FALSE)</f>
        <v>1002</v>
      </c>
      <c r="J23" t="str">
        <f>VLOOKUP(B23,[1]Blad1!$A$1:$G$65536,5,FALSE)</f>
        <v>7940 KA</v>
      </c>
      <c r="K23" t="str">
        <f>VLOOKUP(B23,[1]Blad1!$A$1:$G$65536,6,FALSE)</f>
        <v>MEPPEL</v>
      </c>
      <c r="L23" t="str">
        <f>VLOOKUP(B23,[1]Blad1!$A$1:$G$65536,7,FALSE)</f>
        <v>NL</v>
      </c>
    </row>
    <row r="24" spans="2:12" x14ac:dyDescent="0.55000000000000004">
      <c r="B24" s="1" t="s">
        <v>54</v>
      </c>
      <c r="G24" t="str">
        <f>VLOOKUP(B24,[1]Blad1!$A$1:$G$65536,2,FALSE)</f>
        <v>DYNAMOSTRAAT</v>
      </c>
      <c r="H24" t="str">
        <f>VLOOKUP(B24,[1]Blad1!$A$1:$G$65536,3,FALSE)</f>
        <v>15</v>
      </c>
      <c r="J24" t="str">
        <f>VLOOKUP(B24,[1]Blad1!$A$1:$G$65536,5,FALSE)</f>
        <v>2525 KB</v>
      </c>
      <c r="K24" t="str">
        <f>VLOOKUP(B24,[1]Blad1!$A$1:$G$65536,6,FALSE)</f>
        <v>DEN HAAG</v>
      </c>
      <c r="L24" t="str">
        <f>VLOOKUP(B24,[1]Blad1!$A$1:$G$65536,7,FALSE)</f>
        <v>NL</v>
      </c>
    </row>
    <row r="25" spans="2:12" x14ac:dyDescent="0.55000000000000004">
      <c r="B25" s="1" t="s">
        <v>55</v>
      </c>
      <c r="G25" t="str">
        <f>VLOOKUP(B25,[1]Blad1!$A$1:$G$65536,2,FALSE)</f>
        <v>SMALLEWEG</v>
      </c>
      <c r="H25" t="str">
        <f>VLOOKUP(B25,[1]Blad1!$A$1:$G$65536,3,FALSE)</f>
        <v>25</v>
      </c>
      <c r="J25" t="str">
        <f>VLOOKUP(B25,[1]Blad1!$A$1:$G$65536,5,FALSE)</f>
        <v>3981 EE</v>
      </c>
      <c r="K25" t="str">
        <f>VLOOKUP(B25,[1]Blad1!$A$1:$G$65536,6,FALSE)</f>
        <v>Bunnik</v>
      </c>
      <c r="L25" t="str">
        <f>VLOOKUP(B25,[1]Blad1!$A$1:$G$65536,7,FALSE)</f>
        <v>NL</v>
      </c>
    </row>
    <row r="26" spans="2:12" x14ac:dyDescent="0.55000000000000004">
      <c r="B26" s="1" t="s">
        <v>56</v>
      </c>
      <c r="G26" t="str">
        <f>VLOOKUP(B26,[1]Blad1!$A$1:$G$65536,2,FALSE)</f>
        <v>LULOFSTRAAT</v>
      </c>
      <c r="H26" t="str">
        <f>VLOOKUP(B26,[1]Blad1!$A$1:$G$65536,3,FALSE)</f>
        <v>20-24</v>
      </c>
      <c r="J26" t="str">
        <f>VLOOKUP(B26,[1]Blad1!$A$1:$G$65536,5,FALSE)</f>
        <v>2521 AM</v>
      </c>
      <c r="K26" t="str">
        <f>VLOOKUP(B26,[1]Blad1!$A$1:$G$65536,6,FALSE)</f>
        <v>s-Gravenhage</v>
      </c>
      <c r="L26" t="str">
        <f>VLOOKUP(B26,[1]Blad1!$A$1:$G$65536,7,FALSE)</f>
        <v>NL</v>
      </c>
    </row>
    <row r="27" spans="2:12" x14ac:dyDescent="0.55000000000000004">
      <c r="B27" s="1" t="s">
        <v>57</v>
      </c>
      <c r="G27" t="str">
        <f>VLOOKUP(B27,[1]Blad1!$A$1:$G$65536,2,FALSE)</f>
        <v>OOSTEINDE</v>
      </c>
      <c r="H27" t="str">
        <f>VLOOKUP(B27,[1]Blad1!$A$1:$G$65536,3,FALSE)</f>
        <v>36</v>
      </c>
      <c r="J27" t="str">
        <f>VLOOKUP(B27,[1]Blad1!$A$1:$G$65536,5,FALSE)</f>
        <v>7671 AA</v>
      </c>
      <c r="K27" t="str">
        <f>VLOOKUP(B27,[1]Blad1!$A$1:$G$65536,6,FALSE)</f>
        <v>Vriezenveen</v>
      </c>
      <c r="L27" t="str">
        <f>VLOOKUP(B27,[1]Blad1!$A$1:$G$65536,7,FALSE)</f>
        <v>NL</v>
      </c>
    </row>
    <row r="28" spans="2:12" x14ac:dyDescent="0.55000000000000004">
      <c r="B28" s="1" t="s">
        <v>58</v>
      </c>
      <c r="G28" t="str">
        <f>VLOOKUP(B28,[1]Blad1!$A$1:$G$65536,2,FALSE)</f>
        <v>INDUSTRIEWEG</v>
      </c>
      <c r="H28" t="str">
        <f>VLOOKUP(B28,[1]Blad1!$A$1:$G$65536,3,FALSE)</f>
        <v>35</v>
      </c>
      <c r="J28" t="str">
        <f>VLOOKUP(B28,[1]Blad1!$A$1:$G$65536,5,FALSE)</f>
        <v>3241 MA</v>
      </c>
      <c r="K28" t="str">
        <f>VLOOKUP(B28,[1]Blad1!$A$1:$G$65536,6,FALSE)</f>
        <v>Middelharnis</v>
      </c>
      <c r="L28" t="str">
        <f>VLOOKUP(B28,[1]Blad1!$A$1:$G$65536,7,FALSE)</f>
        <v>NL</v>
      </c>
    </row>
    <row r="29" spans="2:12" x14ac:dyDescent="0.55000000000000004">
      <c r="B29" s="1" t="s">
        <v>58</v>
      </c>
      <c r="G29" s="19" t="s">
        <v>342</v>
      </c>
      <c r="H29">
        <v>2</v>
      </c>
      <c r="J29" s="21" t="s">
        <v>344</v>
      </c>
      <c r="K29" s="22" t="s">
        <v>343</v>
      </c>
      <c r="L29" s="20" t="s">
        <v>26</v>
      </c>
    </row>
    <row r="30" spans="2:12" x14ac:dyDescent="0.55000000000000004">
      <c r="B30" s="1" t="s">
        <v>59</v>
      </c>
      <c r="G30" t="str">
        <f>VLOOKUP(B30,[1]Blad1!$A$1:$G$65536,2,FALSE)</f>
        <v>POSTBUS</v>
      </c>
      <c r="H30" t="str">
        <f>VLOOKUP(B30,[1]Blad1!$A$1:$G$65536,3,FALSE)</f>
        <v>2</v>
      </c>
      <c r="J30" t="str">
        <f>VLOOKUP(B30,[1]Blad1!$A$1:$G$65536,5,FALSE)</f>
        <v>8600 AA</v>
      </c>
      <c r="K30" t="str">
        <f>VLOOKUP(B30,[1]Blad1!$A$1:$G$65536,6,FALSE)</f>
        <v>SNEEK</v>
      </c>
      <c r="L30" t="str">
        <f>VLOOKUP(B30,[1]Blad1!$A$1:$G$65536,7,FALSE)</f>
        <v>NL</v>
      </c>
    </row>
    <row r="31" spans="2:12" x14ac:dyDescent="0.55000000000000004">
      <c r="B31" s="1" t="s">
        <v>60</v>
      </c>
      <c r="G31" t="str">
        <f>VLOOKUP(B31,[1]Blad1!$A$1:$G$65536,2,FALSE)</f>
        <v>Nieuwstraat</v>
      </c>
      <c r="H31" t="str">
        <f>VLOOKUP(B31,[1]Blad1!$A$1:$G$65536,3,FALSE)</f>
        <v>22</v>
      </c>
      <c r="J31" t="str">
        <f>VLOOKUP(B31,[1]Blad1!$A$1:$G$65536,5,FALSE)</f>
        <v>4341 AS</v>
      </c>
      <c r="K31" t="str">
        <f>VLOOKUP(B31,[1]Blad1!$A$1:$G$65536,6,FALSE)</f>
        <v>Arnemuiden</v>
      </c>
      <c r="L31" t="str">
        <f>VLOOKUP(B31,[1]Blad1!$A$1:$G$65536,7,FALSE)</f>
        <v>NL</v>
      </c>
    </row>
    <row r="32" spans="2:12" x14ac:dyDescent="0.55000000000000004">
      <c r="B32" s="1" t="s">
        <v>61</v>
      </c>
      <c r="G32" t="str">
        <f>VLOOKUP(B32,[1]Blad1!$A$1:$G$65536,2,FALSE)</f>
        <v>VLOTHAVENWEG</v>
      </c>
      <c r="H32" t="str">
        <f>VLOOKUP(B32,[1]Blad1!$A$1:$G$65536,3,FALSE)</f>
        <v>20</v>
      </c>
      <c r="J32" t="str">
        <f>VLOOKUP(B32,[1]Blad1!$A$1:$G$65536,5,FALSE)</f>
        <v>1013 BJ</v>
      </c>
      <c r="K32" t="str">
        <f>VLOOKUP(B32,[1]Blad1!$A$1:$G$65536,6,FALSE)</f>
        <v>Amsterdam</v>
      </c>
      <c r="L32" t="str">
        <f>VLOOKUP(B32,[1]Blad1!$A$1:$G$65536,7,FALSE)</f>
        <v>NL</v>
      </c>
    </row>
    <row r="33" spans="2:12" x14ac:dyDescent="0.55000000000000004">
      <c r="B33" s="1" t="s">
        <v>62</v>
      </c>
      <c r="G33" t="str">
        <f>VLOOKUP(B33,[1]Blad1!$A$1:$G$65536,2,FALSE)</f>
        <v>Hoogheuvelstraat</v>
      </c>
      <c r="H33" t="str">
        <f>VLOOKUP(B33,[1]Blad1!$A$1:$G$65536,3,FALSE)</f>
        <v>121</v>
      </c>
      <c r="J33" t="str">
        <f>VLOOKUP(B33,[1]Blad1!$A$1:$G$65536,5,FALSE)</f>
        <v>5349 AM</v>
      </c>
      <c r="K33" t="str">
        <f>VLOOKUP(B33,[1]Blad1!$A$1:$G$65536,6,FALSE)</f>
        <v>OSS</v>
      </c>
      <c r="L33" t="str">
        <f>VLOOKUP(B33,[1]Blad1!$A$1:$G$65536,7,FALSE)</f>
        <v>NL</v>
      </c>
    </row>
    <row r="34" spans="2:12" x14ac:dyDescent="0.55000000000000004">
      <c r="B34" s="1" t="s">
        <v>63</v>
      </c>
      <c r="G34" t="str">
        <f>VLOOKUP(B34,[1]Blad1!$A$1:$G$65536,2,FALSE)</f>
        <v>POSTBUS</v>
      </c>
      <c r="H34" t="str">
        <f>VLOOKUP(B34,[1]Blad1!$A$1:$G$65536,3,FALSE)</f>
        <v>250</v>
      </c>
      <c r="J34" t="str">
        <f>VLOOKUP(B34,[1]Blad1!$A$1:$G$65536,5,FALSE)</f>
        <v>8800 AG</v>
      </c>
      <c r="K34" t="str">
        <f>VLOOKUP(B34,[1]Blad1!$A$1:$G$65536,6,FALSE)</f>
        <v>FRANEKER</v>
      </c>
      <c r="L34" t="str">
        <f>VLOOKUP(B34,[1]Blad1!$A$1:$G$65536,7,FALSE)</f>
        <v>NL</v>
      </c>
    </row>
    <row r="35" spans="2:12" x14ac:dyDescent="0.55000000000000004">
      <c r="B35" s="1" t="s">
        <v>64</v>
      </c>
      <c r="G35" t="str">
        <f>VLOOKUP(B35,[1]Blad1!$A$1:$G$65536,2,FALSE)</f>
        <v>HAARSTRAAT</v>
      </c>
      <c r="H35" t="str">
        <f>VLOOKUP(B35,[1]Blad1!$A$1:$G$65536,3,FALSE)</f>
        <v>66</v>
      </c>
      <c r="J35" t="str">
        <f>VLOOKUP(B35,[1]Blad1!$A$1:$G$65536,5,FALSE)</f>
        <v>7462 AS</v>
      </c>
      <c r="K35" t="str">
        <f>VLOOKUP(B35,[1]Blad1!$A$1:$G$65536,6,FALSE)</f>
        <v>RIJSSEN</v>
      </c>
      <c r="L35" t="str">
        <f>VLOOKUP(B35,[1]Blad1!$A$1:$G$65536,7,FALSE)</f>
        <v>NL</v>
      </c>
    </row>
    <row r="36" spans="2:12" x14ac:dyDescent="0.55000000000000004">
      <c r="B36" s="1" t="s">
        <v>65</v>
      </c>
      <c r="G36" t="str">
        <f>VLOOKUP(B36,[1]Blad1!$A$1:$G$65536,2,FALSE)</f>
        <v>J. van Hasseltweg</v>
      </c>
      <c r="H36" t="str">
        <f>VLOOKUP(B36,[1]Blad1!$A$1:$G$65536,3,FALSE)</f>
        <v>45</v>
      </c>
      <c r="J36" t="str">
        <f>VLOOKUP(B36,[1]Blad1!$A$1:$G$65536,5,FALSE)</f>
        <v>1021 KN</v>
      </c>
      <c r="K36" t="str">
        <f>VLOOKUP(B36,[1]Blad1!$A$1:$G$65536,6,FALSE)</f>
        <v>AMSTERDAM</v>
      </c>
      <c r="L36" t="str">
        <f>VLOOKUP(B36,[1]Blad1!$A$1:$G$65536,7,FALSE)</f>
        <v>NL</v>
      </c>
    </row>
    <row r="37" spans="2:12" x14ac:dyDescent="0.55000000000000004">
      <c r="B37" s="1" t="s">
        <v>66</v>
      </c>
      <c r="G37" t="str">
        <f>VLOOKUP(B37,[1]Blad1!$A$1:$G$65536,2,FALSE)</f>
        <v>Halleheideweg</v>
      </c>
      <c r="H37" t="str">
        <f>VLOOKUP(B37,[1]Blad1!$A$1:$G$65536,3,FALSE)</f>
        <v>16</v>
      </c>
      <c r="J37" t="str">
        <f>VLOOKUP(B37,[1]Blad1!$A$1:$G$65536,5,FALSE)</f>
        <v>7025 CL</v>
      </c>
      <c r="K37" t="str">
        <f>VLOOKUP(B37,[1]Blad1!$A$1:$G$65536,6,FALSE)</f>
        <v>HALLE</v>
      </c>
      <c r="L37" t="str">
        <f>VLOOKUP(B37,[1]Blad1!$A$1:$G$65536,7,FALSE)</f>
        <v>NL</v>
      </c>
    </row>
    <row r="38" spans="2:12" x14ac:dyDescent="0.55000000000000004">
      <c r="B38" s="1" t="s">
        <v>67</v>
      </c>
      <c r="G38" t="str">
        <f>VLOOKUP(B38,[1]Blad1!$A$1:$G$65536,2,FALSE)</f>
        <v>Postbus</v>
      </c>
      <c r="H38" t="str">
        <f>VLOOKUP(B38,[1]Blad1!$A$1:$G$65536,3,FALSE)</f>
        <v>27</v>
      </c>
      <c r="J38" t="str">
        <f>VLOOKUP(B38,[1]Blad1!$A$1:$G$65536,5,FALSE)</f>
        <v>7255 ZG</v>
      </c>
      <c r="K38" t="str">
        <f>VLOOKUP(B38,[1]Blad1!$A$1:$G$65536,6,FALSE)</f>
        <v>HENGELO (GLD)</v>
      </c>
      <c r="L38" t="str">
        <f>VLOOKUP(B38,[1]Blad1!$A$1:$G$65536,7,FALSE)</f>
        <v>NL</v>
      </c>
    </row>
    <row r="39" spans="2:12" x14ac:dyDescent="0.55000000000000004">
      <c r="B39" s="1" t="s">
        <v>68</v>
      </c>
      <c r="G39" t="str">
        <f>VLOOKUP(B39,[1]Blad1!$A$1:$G$65536,2,FALSE)</f>
        <v>TUSSENDIEPEN</v>
      </c>
      <c r="H39" t="str">
        <f>VLOOKUP(B39,[1]Blad1!$A$1:$G$65536,3,FALSE)</f>
        <v>12</v>
      </c>
      <c r="J39" t="str">
        <f>VLOOKUP(B39,[1]Blad1!$A$1:$G$65536,5,FALSE)</f>
        <v>9206 AD</v>
      </c>
      <c r="K39" t="str">
        <f>VLOOKUP(B39,[1]Blad1!$A$1:$G$65536,6,FALSE)</f>
        <v>Drachten</v>
      </c>
      <c r="L39" t="str">
        <f>VLOOKUP(B39,[1]Blad1!$A$1:$G$65536,7,FALSE)</f>
        <v>NL</v>
      </c>
    </row>
    <row r="40" spans="2:12" x14ac:dyDescent="0.55000000000000004">
      <c r="B40" s="1" t="s">
        <v>69</v>
      </c>
      <c r="G40" t="str">
        <f>VLOOKUP(B40,[1]Blad1!$A$1:$G$65536,2,FALSE)</f>
        <v>Florijn</v>
      </c>
      <c r="H40" t="str">
        <f>VLOOKUP(B40,[1]Blad1!$A$1:$G$65536,3,FALSE)</f>
        <v>5</v>
      </c>
      <c r="J40" t="str">
        <f>VLOOKUP(B40,[1]Blad1!$A$1:$G$65536,5,FALSE)</f>
        <v>5751 PC</v>
      </c>
      <c r="K40" t="str">
        <f>VLOOKUP(B40,[1]Blad1!$A$1:$G$65536,6,FALSE)</f>
        <v>Deurne</v>
      </c>
      <c r="L40" t="str">
        <f>VLOOKUP(B40,[1]Blad1!$A$1:$G$65536,7,FALSE)</f>
        <v>NL</v>
      </c>
    </row>
    <row r="41" spans="2:12" x14ac:dyDescent="0.55000000000000004">
      <c r="B41" s="1" t="s">
        <v>70</v>
      </c>
      <c r="G41" t="str">
        <f>VLOOKUP(B41,[1]Blad1!$A$1:$G$65536,2,FALSE)</f>
        <v>Kennedylaan</v>
      </c>
      <c r="H41" t="str">
        <f>VLOOKUP(B41,[1]Blad1!$A$1:$G$65536,3,FALSE)</f>
        <v>32</v>
      </c>
      <c r="J41" t="str">
        <f>VLOOKUP(B41,[1]Blad1!$A$1:$G$65536,5,FALSE)</f>
        <v>4538 AE</v>
      </c>
      <c r="K41" t="str">
        <f>VLOOKUP(B41,[1]Blad1!$A$1:$G$65536,6,FALSE)</f>
        <v>Terneuzen</v>
      </c>
      <c r="L41" t="str">
        <f>VLOOKUP(B41,[1]Blad1!$A$1:$G$65536,7,FALSE)</f>
        <v>NL</v>
      </c>
    </row>
    <row r="42" spans="2:12" x14ac:dyDescent="0.55000000000000004">
      <c r="B42" s="1" t="s">
        <v>71</v>
      </c>
      <c r="G42" t="str">
        <f>VLOOKUP(B42,[1]Blad1!$A$1:$G$65536,2,FALSE)</f>
        <v>GALVANISTRAAT</v>
      </c>
      <c r="H42" t="str">
        <f>VLOOKUP(B42,[1]Blad1!$A$1:$G$65536,3,FALSE)</f>
        <v>20</v>
      </c>
      <c r="J42" t="str">
        <f>VLOOKUP(B42,[1]Blad1!$A$1:$G$65536,5,FALSE)</f>
        <v>6716 AE</v>
      </c>
      <c r="K42" t="str">
        <f>VLOOKUP(B42,[1]Blad1!$A$1:$G$65536,6,FALSE)</f>
        <v>EDE</v>
      </c>
      <c r="L42" t="str">
        <f>VLOOKUP(B42,[1]Blad1!$A$1:$G$65536,7,FALSE)</f>
        <v>NL</v>
      </c>
    </row>
    <row r="43" spans="2:12" x14ac:dyDescent="0.55000000000000004">
      <c r="B43" s="1" t="s">
        <v>72</v>
      </c>
      <c r="G43" t="str">
        <f>VLOOKUP(B43,[1]Blad1!$A$1:$G$65536,2,FALSE)</f>
        <v>Achterweg zuid</v>
      </c>
      <c r="H43" t="str">
        <f>VLOOKUP(B43,[1]Blad1!$A$1:$G$65536,3,FALSE)</f>
        <v>76</v>
      </c>
      <c r="J43" t="str">
        <f>VLOOKUP(B43,[1]Blad1!$A$1:$G$65536,5,FALSE)</f>
        <v>2161 DZ</v>
      </c>
      <c r="K43" t="str">
        <f>VLOOKUP(B43,[1]Blad1!$A$1:$G$65536,6,FALSE)</f>
        <v>Lisse</v>
      </c>
      <c r="L43" t="str">
        <f>VLOOKUP(B43,[1]Blad1!$A$1:$G$65536,7,FALSE)</f>
        <v>NL</v>
      </c>
    </row>
    <row r="44" spans="2:12" x14ac:dyDescent="0.55000000000000004">
      <c r="B44" s="1" t="s">
        <v>72</v>
      </c>
      <c r="G44" s="23" t="s">
        <v>345</v>
      </c>
      <c r="J44" s="24" t="s">
        <v>291</v>
      </c>
      <c r="K44" s="25" t="s">
        <v>290</v>
      </c>
      <c r="L44" s="20" t="s">
        <v>26</v>
      </c>
    </row>
    <row r="45" spans="2:12" x14ac:dyDescent="0.55000000000000004">
      <c r="B45" s="1" t="s">
        <v>72</v>
      </c>
      <c r="G45" s="26" t="s">
        <v>346</v>
      </c>
      <c r="H45">
        <v>143</v>
      </c>
      <c r="J45" s="27" t="s">
        <v>348</v>
      </c>
      <c r="K45" s="28" t="s">
        <v>347</v>
      </c>
      <c r="L45" s="20" t="s">
        <v>26</v>
      </c>
    </row>
    <row r="46" spans="2:12" x14ac:dyDescent="0.55000000000000004">
      <c r="B46" s="1" t="s">
        <v>72</v>
      </c>
      <c r="G46" s="29" t="s">
        <v>349</v>
      </c>
      <c r="H46">
        <v>12</v>
      </c>
      <c r="J46" s="30" t="s">
        <v>291</v>
      </c>
      <c r="K46" s="30" t="s">
        <v>290</v>
      </c>
      <c r="L46" s="20" t="s">
        <v>26</v>
      </c>
    </row>
    <row r="47" spans="2:12" x14ac:dyDescent="0.55000000000000004">
      <c r="B47" s="1" t="s">
        <v>72</v>
      </c>
      <c r="G47" s="31" t="s">
        <v>351</v>
      </c>
      <c r="H47" s="32">
        <v>4</v>
      </c>
      <c r="I47" t="s">
        <v>350</v>
      </c>
      <c r="J47" s="33" t="s">
        <v>352</v>
      </c>
      <c r="K47" s="34" t="s">
        <v>353</v>
      </c>
      <c r="L47" s="20" t="s">
        <v>26</v>
      </c>
    </row>
    <row r="48" spans="2:12" x14ac:dyDescent="0.55000000000000004">
      <c r="B48" s="1" t="s">
        <v>72</v>
      </c>
      <c r="G48" s="39" t="s">
        <v>356</v>
      </c>
      <c r="H48" s="38">
        <v>106</v>
      </c>
      <c r="J48" s="40" t="s">
        <v>358</v>
      </c>
      <c r="K48" s="41" t="s">
        <v>357</v>
      </c>
      <c r="L48" s="20" t="s">
        <v>26</v>
      </c>
    </row>
    <row r="49" spans="2:12" x14ac:dyDescent="0.55000000000000004">
      <c r="B49" s="1" t="s">
        <v>72</v>
      </c>
      <c r="G49" s="35" t="s">
        <v>354</v>
      </c>
      <c r="H49" s="36">
        <v>27</v>
      </c>
      <c r="I49" s="37" t="s">
        <v>350</v>
      </c>
      <c r="J49" s="30"/>
      <c r="K49" s="38" t="s">
        <v>355</v>
      </c>
      <c r="L49" s="20" t="s">
        <v>26</v>
      </c>
    </row>
    <row r="50" spans="2:12" x14ac:dyDescent="0.55000000000000004">
      <c r="B50" s="1" t="s">
        <v>73</v>
      </c>
      <c r="G50" t="str">
        <f>VLOOKUP(B50,[1]Blad1!$A$1:$G$65536,2,FALSE)</f>
        <v>POSTBUS</v>
      </c>
      <c r="H50" t="str">
        <f>VLOOKUP(B50,[1]Blad1!$A$1:$G$65536,3,FALSE)</f>
        <v>1501</v>
      </c>
      <c r="J50" t="str">
        <f>VLOOKUP(B50,[1]Blad1!$A$1:$G$65536,5,FALSE)</f>
        <v>2003 BN</v>
      </c>
      <c r="K50" t="str">
        <f>VLOOKUP(B50,[1]Blad1!$A$1:$G$65536,6,FALSE)</f>
        <v>HAARLEM</v>
      </c>
      <c r="L50" t="str">
        <f>VLOOKUP(B50,[1]Blad1!$A$1:$G$65536,7,FALSE)</f>
        <v>NL</v>
      </c>
    </row>
    <row r="51" spans="2:12" x14ac:dyDescent="0.55000000000000004">
      <c r="B51" s="1" t="s">
        <v>74</v>
      </c>
      <c r="G51" t="str">
        <f>VLOOKUP(B51,[1]Blad1!$A$1:$G$65536,2,FALSE)</f>
        <v>POSTBUS</v>
      </c>
      <c r="H51" t="str">
        <f>VLOOKUP(B51,[1]Blad1!$A$1:$G$65536,3,FALSE)</f>
        <v>2100</v>
      </c>
      <c r="J51" t="str">
        <f>VLOOKUP(B51,[1]Blad1!$A$1:$G$65536,5,FALSE)</f>
        <v>7420 AC</v>
      </c>
      <c r="K51" t="str">
        <f>VLOOKUP(B51,[1]Blad1!$A$1:$G$65536,6,FALSE)</f>
        <v>DEVENTER</v>
      </c>
      <c r="L51" t="str">
        <f>VLOOKUP(B51,[1]Blad1!$A$1:$G$65536,7,FALSE)</f>
        <v>NL</v>
      </c>
    </row>
    <row r="52" spans="2:12" x14ac:dyDescent="0.55000000000000004">
      <c r="B52" s="1" t="s">
        <v>75</v>
      </c>
      <c r="G52" t="str">
        <f>VLOOKUP(B52,[1]Blad1!$A$1:$G$65536,2,FALSE)</f>
        <v>CYCLOTRONWEG</v>
      </c>
      <c r="H52" t="str">
        <f>VLOOKUP(B52,[1]Blad1!$A$1:$G$65536,3,FALSE)</f>
        <v>3</v>
      </c>
      <c r="J52" t="str">
        <f>VLOOKUP(B52,[1]Blad1!$A$1:$G$65536,5,FALSE)</f>
        <v>2629 HN</v>
      </c>
      <c r="K52" t="str">
        <f>VLOOKUP(B52,[1]Blad1!$A$1:$G$65536,6,FALSE)</f>
        <v>Delft</v>
      </c>
      <c r="L52" t="str">
        <f>VLOOKUP(B52,[1]Blad1!$A$1:$G$65536,7,FALSE)</f>
        <v>NL</v>
      </c>
    </row>
    <row r="53" spans="2:12" x14ac:dyDescent="0.55000000000000004">
      <c r="B53" s="1" t="s">
        <v>76</v>
      </c>
      <c r="G53" t="str">
        <f>VLOOKUP(B53,[1]Blad1!$A$1:$G$65536,2,FALSE)</f>
        <v>DR. W. DREESLAAN</v>
      </c>
      <c r="H53" t="str">
        <f>VLOOKUP(B53,[1]Blad1!$A$1:$G$65536,3,FALSE)</f>
        <v>2</v>
      </c>
      <c r="J53" t="str">
        <f>VLOOKUP(B53,[1]Blad1!$A$1:$G$65536,5,FALSE)</f>
        <v>3771 RW</v>
      </c>
      <c r="K53" t="str">
        <f>VLOOKUP(B53,[1]Blad1!$A$1:$G$65536,6,FALSE)</f>
        <v>BARNEVELD</v>
      </c>
      <c r="L53" t="str">
        <f>VLOOKUP(B53,[1]Blad1!$A$1:$G$65536,7,FALSE)</f>
        <v>NL</v>
      </c>
    </row>
    <row r="54" spans="2:12" x14ac:dyDescent="0.55000000000000004">
      <c r="B54" s="1" t="s">
        <v>77</v>
      </c>
      <c r="G54" t="str">
        <f>VLOOKUP(B54,[1]Blad1!$A$1:$G$65536,2,FALSE)</f>
        <v>Achterwetering</v>
      </c>
      <c r="H54" t="str">
        <f>VLOOKUP(B54,[1]Blad1!$A$1:$G$65536,3,FALSE)</f>
        <v>10</v>
      </c>
      <c r="J54" t="str">
        <f>VLOOKUP(B54,[1]Blad1!$A$1:$G$65536,5,FALSE)</f>
        <v>2871 RK</v>
      </c>
      <c r="K54" t="str">
        <f>VLOOKUP(B54,[1]Blad1!$A$1:$G$65536,6,FALSE)</f>
        <v>Schoonhoven</v>
      </c>
      <c r="L54" t="str">
        <f>VLOOKUP(B54,[1]Blad1!$A$1:$G$65536,7,FALSE)</f>
        <v>NL</v>
      </c>
    </row>
    <row r="55" spans="2:12" x14ac:dyDescent="0.55000000000000004">
      <c r="B55" s="1" t="s">
        <v>78</v>
      </c>
      <c r="G55" t="str">
        <f>VLOOKUP(B55,[1]Blad1!$A$1:$G$65536,2,FALSE)</f>
        <v>INDUSTRIEWEG</v>
      </c>
      <c r="H55" t="str">
        <f>VLOOKUP(B55,[1]Blad1!$A$1:$G$65536,3,FALSE)</f>
        <v>9</v>
      </c>
      <c r="J55" t="str">
        <f>VLOOKUP(B55,[1]Blad1!$A$1:$G$65536,5,FALSE)</f>
        <v>7903 AH</v>
      </c>
      <c r="K55" t="str">
        <f>VLOOKUP(B55,[1]Blad1!$A$1:$G$65536,6,FALSE)</f>
        <v>Hoogeveen</v>
      </c>
      <c r="L55" t="str">
        <f>VLOOKUP(B55,[1]Blad1!$A$1:$G$65536,7,FALSE)</f>
        <v>NL</v>
      </c>
    </row>
    <row r="56" spans="2:12" x14ac:dyDescent="0.55000000000000004">
      <c r="B56" s="1" t="s">
        <v>79</v>
      </c>
      <c r="G56" t="str">
        <f>VLOOKUP(B56,[1]Blad1!$A$1:$G$65536,2,FALSE)</f>
        <v>BURG. JASLAAN</v>
      </c>
      <c r="H56" t="str">
        <f>VLOOKUP(B56,[1]Blad1!$A$1:$G$65536,3,FALSE)</f>
        <v>35</v>
      </c>
      <c r="J56" t="str">
        <f>VLOOKUP(B56,[1]Blad1!$A$1:$G$65536,5,FALSE)</f>
        <v>3319 AB</v>
      </c>
      <c r="K56" t="str">
        <f>VLOOKUP(B56,[1]Blad1!$A$1:$G$65536,6,FALSE)</f>
        <v>DORDRECHT</v>
      </c>
      <c r="L56" t="str">
        <f>VLOOKUP(B56,[1]Blad1!$A$1:$G$65536,7,FALSE)</f>
        <v>NL</v>
      </c>
    </row>
    <row r="57" spans="2:12" x14ac:dyDescent="0.55000000000000004">
      <c r="B57" s="1" t="s">
        <v>80</v>
      </c>
      <c r="G57" t="str">
        <f>VLOOKUP(B57,[1]Blad1!$A$1:$G$65536,2,FALSE)</f>
        <v>BRUCHTERWEG</v>
      </c>
      <c r="H57" t="str">
        <f>VLOOKUP(B57,[1]Blad1!$A$1:$G$65536,3,FALSE)</f>
        <v>103</v>
      </c>
      <c r="J57" t="str">
        <f>VLOOKUP(B57,[1]Blad1!$A$1:$G$65536,5,FALSE)</f>
        <v>7772 BK</v>
      </c>
      <c r="K57" t="str">
        <f>VLOOKUP(B57,[1]Blad1!$A$1:$G$65536,6,FALSE)</f>
        <v>Hardenberg</v>
      </c>
      <c r="L57" t="str">
        <f>VLOOKUP(B57,[1]Blad1!$A$1:$G$65536,7,FALSE)</f>
        <v>NL</v>
      </c>
    </row>
    <row r="58" spans="2:12" x14ac:dyDescent="0.55000000000000004">
      <c r="B58" s="1" t="s">
        <v>81</v>
      </c>
      <c r="G58" t="str">
        <f>VLOOKUP(B58,[1]Blad1!$A$1:$G$65536,2,FALSE)</f>
        <v>Arnoudstraat</v>
      </c>
      <c r="H58" t="str">
        <f>VLOOKUP(B58,[1]Blad1!$A$1:$G$65536,3,FALSE)</f>
        <v>11</v>
      </c>
      <c r="J58" t="str">
        <f>VLOOKUP(B58,[1]Blad1!$A$1:$G$65536,5,FALSE)</f>
        <v>2182 DZ</v>
      </c>
      <c r="K58" t="str">
        <f>VLOOKUP(B58,[1]Blad1!$A$1:$G$65536,6,FALSE)</f>
        <v>Hillegom</v>
      </c>
      <c r="L58" t="str">
        <f>VLOOKUP(B58,[1]Blad1!$A$1:$G$65536,7,FALSE)</f>
        <v>NL</v>
      </c>
    </row>
    <row r="59" spans="2:12" x14ac:dyDescent="0.55000000000000004">
      <c r="B59" s="1" t="s">
        <v>82</v>
      </c>
      <c r="G59" t="str">
        <f>VLOOKUP(B59,[1]Blad1!$A$1:$G$65536,2,FALSE)</f>
        <v>PROVINCIALEWEG WEST</v>
      </c>
      <c r="H59" t="str">
        <f>VLOOKUP(B59,[1]Blad1!$A$1:$G$65536,3,FALSE)</f>
        <v>60</v>
      </c>
      <c r="J59" t="str">
        <f>VLOOKUP(B59,[1]Blad1!$A$1:$G$65536,5,FALSE)</f>
        <v>2851 EM</v>
      </c>
      <c r="K59" t="str">
        <f>VLOOKUP(B59,[1]Blad1!$A$1:$G$65536,6,FALSE)</f>
        <v>Haastrecht</v>
      </c>
      <c r="L59" t="str">
        <f>VLOOKUP(B59,[1]Blad1!$A$1:$G$65536,7,FALSE)</f>
        <v>NL</v>
      </c>
    </row>
    <row r="60" spans="2:12" x14ac:dyDescent="0.55000000000000004">
      <c r="B60" s="1" t="s">
        <v>83</v>
      </c>
      <c r="G60" t="str">
        <f>VLOOKUP(B60,[1]Blad1!$A$1:$G$65536,2,FALSE)</f>
        <v>JOL</v>
      </c>
      <c r="H60" t="str">
        <f>VLOOKUP(B60,[1]Blad1!$A$1:$G$65536,3,FALSE)</f>
        <v>11-17</v>
      </c>
      <c r="J60" t="str">
        <f>VLOOKUP(B60,[1]Blad1!$A$1:$G$65536,5,FALSE)</f>
        <v>8243 ED</v>
      </c>
      <c r="K60" t="str">
        <f>VLOOKUP(B60,[1]Blad1!$A$1:$G$65536,6,FALSE)</f>
        <v>LELYSTAD</v>
      </c>
      <c r="L60" t="str">
        <f>VLOOKUP(B60,[1]Blad1!$A$1:$G$65536,7,FALSE)</f>
        <v>NL</v>
      </c>
    </row>
    <row r="61" spans="2:12" x14ac:dyDescent="0.55000000000000004">
      <c r="B61" s="1" t="s">
        <v>84</v>
      </c>
      <c r="G61" s="266" t="s">
        <v>611</v>
      </c>
      <c r="H61">
        <v>38</v>
      </c>
      <c r="J61" s="267" t="s">
        <v>612</v>
      </c>
      <c r="K61" t="s">
        <v>613</v>
      </c>
      <c r="L61" t="str">
        <f>VLOOKUP(B61,[1]Blad1!$A$1:$G$65536,7,FALSE)</f>
        <v>NL</v>
      </c>
    </row>
    <row r="62" spans="2:12" x14ac:dyDescent="0.55000000000000004">
      <c r="B62" s="1" t="s">
        <v>85</v>
      </c>
      <c r="G62" t="str">
        <f>VLOOKUP(B62,[1]Blad1!$A$1:$G$65536,2,FALSE)</f>
        <v>Heemskerckstraat</v>
      </c>
      <c r="H62" t="str">
        <f>VLOOKUP(B62,[1]Blad1!$A$1:$G$65536,3,FALSE)</f>
        <v>50</v>
      </c>
      <c r="J62" t="str">
        <f>VLOOKUP(B62,[1]Blad1!$A$1:$G$65536,5,FALSE)</f>
        <v>1792 AC</v>
      </c>
      <c r="K62" t="str">
        <f>VLOOKUP(B62,[1]Blad1!$A$1:$G$65536,6,FALSE)</f>
        <v>OUDESCHILD</v>
      </c>
      <c r="L62" t="str">
        <f>VLOOKUP(B62,[1]Blad1!$A$1:$G$65536,7,FALSE)</f>
        <v>NL</v>
      </c>
    </row>
    <row r="63" spans="2:12" x14ac:dyDescent="0.55000000000000004">
      <c r="B63" s="1" t="s">
        <v>86</v>
      </c>
      <c r="G63" t="str">
        <f>VLOOKUP(B63,[1]Blad1!$A$1:$G$65536,2,FALSE)</f>
        <v>WESTEINDE</v>
      </c>
      <c r="H63" t="str">
        <f>VLOOKUP(B63,[1]Blad1!$A$1:$G$65536,3,FALSE)</f>
        <v>106</v>
      </c>
      <c r="J63" t="str">
        <f>VLOOKUP(B63,[1]Blad1!$A$1:$G$65536,5,FALSE)</f>
        <v>7711 CN</v>
      </c>
      <c r="K63" t="str">
        <f>VLOOKUP(B63,[1]Blad1!$A$1:$G$65536,6,FALSE)</f>
        <v>Nieuwleusen</v>
      </c>
      <c r="L63" t="str">
        <f>VLOOKUP(B63,[1]Blad1!$A$1:$G$65536,7,FALSE)</f>
        <v>NL</v>
      </c>
    </row>
    <row r="64" spans="2:12" x14ac:dyDescent="0.55000000000000004">
      <c r="B64" s="1" t="s">
        <v>87</v>
      </c>
      <c r="G64" t="str">
        <f>VLOOKUP(B64,[1]Blad1!$A$1:$G$65536,2,FALSE)</f>
        <v>Postbus</v>
      </c>
      <c r="H64" t="str">
        <f>VLOOKUP(B64,[1]Blad1!$A$1:$G$65536,3,FALSE)</f>
        <v>33</v>
      </c>
      <c r="J64" t="str">
        <f>VLOOKUP(B64,[1]Blad1!$A$1:$G$65536,5,FALSE)</f>
        <v>1800 AA</v>
      </c>
      <c r="K64" t="str">
        <f>VLOOKUP(B64,[1]Blad1!$A$1:$G$65536,6,FALSE)</f>
        <v>ALKMAAR</v>
      </c>
      <c r="L64" t="str">
        <f>VLOOKUP(B64,[1]Blad1!$A$1:$G$65536,7,FALSE)</f>
        <v>NL</v>
      </c>
    </row>
    <row r="65" spans="2:12" x14ac:dyDescent="0.55000000000000004">
      <c r="B65" s="1" t="s">
        <v>88</v>
      </c>
      <c r="G65" t="str">
        <f>VLOOKUP(B65,[1]Blad1!$A$1:$G$65536,2,FALSE)</f>
        <v>BRUG. LEGROWEG</v>
      </c>
      <c r="H65" t="str">
        <f>VLOOKUP(B65,[1]Blad1!$A$1:$G$65536,3,FALSE)</f>
        <v>75</v>
      </c>
      <c r="J65" t="str">
        <f>VLOOKUP(B65,[1]Blad1!$A$1:$G$65536,5,FALSE)</f>
        <v>9761 TB</v>
      </c>
      <c r="K65" t="str">
        <f>VLOOKUP(B65,[1]Blad1!$A$1:$G$65536,6,FALSE)</f>
        <v>EELDE</v>
      </c>
      <c r="L65" t="str">
        <f>VLOOKUP(B65,[1]Blad1!$A$1:$G$65536,7,FALSE)</f>
        <v>NL</v>
      </c>
    </row>
    <row r="66" spans="2:12" x14ac:dyDescent="0.55000000000000004">
      <c r="B66" s="1" t="s">
        <v>89</v>
      </c>
      <c r="G66" s="16" t="str">
        <f>VLOOKUP(B66,[1]Blad1!$A$1:$G$65536,2,FALSE)</f>
        <v>POSTBUS</v>
      </c>
      <c r="H66" s="16" t="str">
        <f>VLOOKUP(B66,[1]Blad1!$A$1:$G$65536,3,FALSE)</f>
        <v>13</v>
      </c>
      <c r="I66" s="16"/>
      <c r="J66" s="16" t="str">
        <f>VLOOKUP(B66,[1]Blad1!$A$1:$G$65536,5,FALSE)</f>
        <v>5737 ZG</v>
      </c>
      <c r="K66" t="str">
        <f>VLOOKUP(B66,[1]Blad1!$A$1:$G$65536,6,FALSE)</f>
        <v>LIESHOUT</v>
      </c>
      <c r="L66" t="str">
        <f>VLOOKUP(B66,[1]Blad1!$A$1:$G$65536,7,FALSE)</f>
        <v>NL</v>
      </c>
    </row>
    <row r="67" spans="2:12" x14ac:dyDescent="0.55000000000000004">
      <c r="B67" s="1" t="s">
        <v>90</v>
      </c>
      <c r="G67" s="16" t="str">
        <f>VLOOKUP(B67,[1]Blad1!$A$1:$G$65536,2,FALSE)</f>
        <v>WETH. VENTEWEG</v>
      </c>
      <c r="H67" s="16" t="str">
        <f>VLOOKUP(B67,[1]Blad1!$A$1:$G$65536,3,FALSE)</f>
        <v>171</v>
      </c>
      <c r="I67" s="16" t="str">
        <f>VLOOKUP(B67,[1]Blad1!$A$1:$G$65536,4,FALSE)</f>
        <v>a</v>
      </c>
      <c r="J67" s="16" t="str">
        <f>VLOOKUP(B67,[1]Blad1!$A$1:$G$65536,5,FALSE)</f>
        <v>2805 JN</v>
      </c>
      <c r="K67" t="str">
        <f>VLOOKUP(B67,[1]Blad1!$A$1:$G$65536,6,FALSE)</f>
        <v>GOUDA</v>
      </c>
      <c r="L67" t="str">
        <f>VLOOKUP(B67,[1]Blad1!$A$1:$G$65536,7,FALSE)</f>
        <v>NL</v>
      </c>
    </row>
    <row r="68" spans="2:12" x14ac:dyDescent="0.55000000000000004">
      <c r="B68" s="1" t="s">
        <v>91</v>
      </c>
      <c r="G68" s="16" t="str">
        <f>VLOOKUP(B68,[1]Blad1!$A$1:$G$65536,2,FALSE)</f>
        <v>Postbus</v>
      </c>
      <c r="H68" s="16" t="str">
        <f>VLOOKUP(B68,[1]Blad1!$A$1:$G$65536,3,FALSE)</f>
        <v>5075</v>
      </c>
      <c r="I68" s="16"/>
      <c r="J68" s="16" t="str">
        <f>VLOOKUP(B68,[1]Blad1!$A$1:$G$65536,5,FALSE)</f>
        <v>9700 GB</v>
      </c>
      <c r="K68" t="str">
        <f>VLOOKUP(B68,[1]Blad1!$A$1:$G$65536,6,FALSE)</f>
        <v>GRONINGEN</v>
      </c>
      <c r="L68" t="str">
        <f>VLOOKUP(B68,[1]Blad1!$A$1:$G$65536,7,FALSE)</f>
        <v>NL</v>
      </c>
    </row>
    <row r="69" spans="2:12" x14ac:dyDescent="0.55000000000000004">
      <c r="B69" s="1" t="s">
        <v>92</v>
      </c>
      <c r="G69" s="16" t="str">
        <f>VLOOKUP(B69,[1]Blad1!$A$1:$G$65536,2,FALSE)</f>
        <v>Slauerhoffweg</v>
      </c>
      <c r="H69" s="16" t="str">
        <f>VLOOKUP(B69,[1]Blad1!$A$1:$G$65536,3,FALSE)</f>
        <v>6</v>
      </c>
      <c r="I69" s="16"/>
      <c r="J69" s="16" t="str">
        <f>VLOOKUP(B69,[1]Blad1!$A$1:$G$65536,5,FALSE)</f>
        <v>8912 BH</v>
      </c>
      <c r="K69" t="str">
        <f>VLOOKUP(B69,[1]Blad1!$A$1:$G$65536,6,FALSE)</f>
        <v>Leeuwarden</v>
      </c>
      <c r="L69" t="str">
        <f>VLOOKUP(B69,[1]Blad1!$A$1:$G$65536,7,FALSE)</f>
        <v>NL</v>
      </c>
    </row>
    <row r="70" spans="2:12" x14ac:dyDescent="0.55000000000000004">
      <c r="B70" s="1" t="s">
        <v>93</v>
      </c>
      <c r="G70" s="16" t="str">
        <f>VLOOKUP(B70,[1]Blad1!$A$1:$G$65536,2,FALSE)</f>
        <v>Staringlaan</v>
      </c>
      <c r="H70" s="16" t="str">
        <f>VLOOKUP(B70,[1]Blad1!$A$1:$G$65536,3,FALSE)</f>
        <v>8</v>
      </c>
      <c r="I70" s="16"/>
      <c r="J70" s="16" t="str">
        <f>VLOOKUP(B70,[1]Blad1!$A$1:$G$65536,5,FALSE)</f>
        <v>2741 GC</v>
      </c>
      <c r="K70" t="str">
        <f>VLOOKUP(B70,[1]Blad1!$A$1:$G$65536,6,FALSE)</f>
        <v>Waddinxveen</v>
      </c>
      <c r="L70" t="str">
        <f>VLOOKUP(B70,[1]Blad1!$A$1:$G$65536,7,FALSE)</f>
        <v>NL</v>
      </c>
    </row>
    <row r="71" spans="2:12" x14ac:dyDescent="0.55000000000000004">
      <c r="B71" s="1" t="s">
        <v>94</v>
      </c>
      <c r="G71" s="16" t="str">
        <f>VLOOKUP(B71,[1]Blad1!$A$1:$G$65536,2,FALSE)</f>
        <v>STRAWINSKYLAAN</v>
      </c>
      <c r="H71" s="16" t="str">
        <f>VLOOKUP(B71,[1]Blad1!$A$1:$G$65536,3,FALSE)</f>
        <v>20</v>
      </c>
      <c r="I71" s="16"/>
      <c r="J71" s="16" t="str">
        <f>VLOOKUP(B71,[1]Blad1!$A$1:$G$65536,5,FALSE)</f>
        <v>3533 JB</v>
      </c>
      <c r="K71" t="str">
        <f>VLOOKUP(B71,[1]Blad1!$A$1:$G$65536,6,FALSE)</f>
        <v>UTRECHT</v>
      </c>
      <c r="L71" t="str">
        <f>VLOOKUP(B71,[1]Blad1!$A$1:$G$65536,7,FALSE)</f>
        <v>NL</v>
      </c>
    </row>
    <row r="72" spans="2:12" x14ac:dyDescent="0.55000000000000004">
      <c r="B72" s="1" t="s">
        <v>95</v>
      </c>
      <c r="G72" s="16" t="str">
        <f>VLOOKUP(B72,[1]Blad1!$A$1:$G$65536,2,FALSE)</f>
        <v>Kerkstraat</v>
      </c>
      <c r="H72" s="16" t="str">
        <f>VLOOKUP(B72,[1]Blad1!$A$1:$G$65536,3,FALSE)</f>
        <v>111</v>
      </c>
      <c r="I72" s="16"/>
      <c r="J72" s="16" t="str">
        <f>VLOOKUP(B72,[1]Blad1!$A$1:$G$65536,5,FALSE)</f>
        <v>2377 BB</v>
      </c>
      <c r="K72" t="str">
        <f>VLOOKUP(B72,[1]Blad1!$A$1:$G$65536,6,FALSE)</f>
        <v>Oude Wetering</v>
      </c>
      <c r="L72" t="str">
        <f>VLOOKUP(B72,[1]Blad1!$A$1:$G$65536,7,FALSE)</f>
        <v>NL</v>
      </c>
    </row>
    <row r="73" spans="2:12" x14ac:dyDescent="0.55000000000000004">
      <c r="B73" s="1" t="s">
        <v>96</v>
      </c>
      <c r="G73" s="16" t="str">
        <f>VLOOKUP(B73,[1]Blad1!$A$1:$G$65536,2,FALSE)</f>
        <v>LAANENDERWEG</v>
      </c>
      <c r="H73" s="16" t="str">
        <f>VLOOKUP(B73,[1]Blad1!$A$1:$G$65536,3,FALSE)</f>
        <v>39</v>
      </c>
      <c r="I73" s="16"/>
      <c r="J73" s="16" t="str">
        <f>VLOOKUP(B73,[1]Blad1!$A$1:$G$65536,5,FALSE)</f>
        <v>1812 PW</v>
      </c>
      <c r="K73" t="str">
        <f>VLOOKUP(B73,[1]Blad1!$A$1:$G$65536,6,FALSE)</f>
        <v>ALKMAAR</v>
      </c>
      <c r="L73" t="str">
        <f>VLOOKUP(B73,[1]Blad1!$A$1:$G$65536,7,FALSE)</f>
        <v>NL</v>
      </c>
    </row>
    <row r="74" spans="2:12" x14ac:dyDescent="0.55000000000000004">
      <c r="B74" s="1" t="s">
        <v>97</v>
      </c>
      <c r="G74" s="16" t="str">
        <f>VLOOKUP(B74,[1]Blad1!$A$1:$G$65536,2,FALSE)</f>
        <v>SLACHTHUISKADE</v>
      </c>
      <c r="H74" s="16" t="str">
        <f>VLOOKUP(B74,[1]Blad1!$A$1:$G$65536,3,FALSE)</f>
        <v>30</v>
      </c>
      <c r="I74" s="16" t="str">
        <f>VLOOKUP(B74,[1]Blad1!$A$1:$G$65536,4,FALSE)</f>
        <v>A</v>
      </c>
      <c r="J74" s="16" t="str">
        <f>VLOOKUP(B74,[1]Blad1!$A$1:$G$65536,5,FALSE)</f>
        <v>2685 LN</v>
      </c>
      <c r="K74" t="str">
        <f>VLOOKUP(B74,[1]Blad1!$A$1:$G$65536,6,FALSE)</f>
        <v>Poeldijk</v>
      </c>
      <c r="L74" t="str">
        <f>VLOOKUP(B74,[1]Blad1!$A$1:$G$65536,7,FALSE)</f>
        <v>NL</v>
      </c>
    </row>
    <row r="75" spans="2:12" x14ac:dyDescent="0.55000000000000004">
      <c r="B75" s="1" t="s">
        <v>98</v>
      </c>
      <c r="G75" s="16" t="str">
        <f>VLOOKUP(B75,[1]Blad1!$A$1:$G$65536,2,FALSE)</f>
        <v>JUTLANDSESTRAAT</v>
      </c>
      <c r="H75" s="16" t="str">
        <f>VLOOKUP(B75,[1]Blad1!$A$1:$G$65536,3,FALSE)</f>
        <v>3</v>
      </c>
      <c r="I75" s="16"/>
      <c r="J75" s="16" t="str">
        <f>VLOOKUP(B75,[1]Blad1!$A$1:$G$65536,5,FALSE)</f>
        <v>7202 CB</v>
      </c>
      <c r="K75" t="str">
        <f>VLOOKUP(B75,[1]Blad1!$A$1:$G$65536,6,FALSE)</f>
        <v>Zutphen</v>
      </c>
      <c r="L75" t="str">
        <f>VLOOKUP(B75,[1]Blad1!$A$1:$G$65536,7,FALSE)</f>
        <v>NL</v>
      </c>
    </row>
    <row r="76" spans="2:12" x14ac:dyDescent="0.55000000000000004">
      <c r="B76" s="1" t="s">
        <v>99</v>
      </c>
      <c r="G76" s="16" t="str">
        <f>VLOOKUP(B76,[1]Blad1!$A$1:$G$65536,2,FALSE)</f>
        <v>Boterbloem</v>
      </c>
      <c r="H76" s="16" t="str">
        <f>VLOOKUP(B76,[1]Blad1!$A$1:$G$65536,3,FALSE)</f>
        <v>42</v>
      </c>
      <c r="I76" s="16"/>
      <c r="J76" s="16" t="s">
        <v>289</v>
      </c>
      <c r="K76" t="s">
        <v>288</v>
      </c>
      <c r="L76" t="str">
        <f>VLOOKUP(B76,[1]Blad1!$A$1:$G$65536,7,FALSE)</f>
        <v>NL</v>
      </c>
    </row>
    <row r="77" spans="2:12" x14ac:dyDescent="0.55000000000000004">
      <c r="B77" s="1" t="s">
        <v>99</v>
      </c>
      <c r="G77" s="43" t="s">
        <v>359</v>
      </c>
      <c r="H77" s="16">
        <v>1</v>
      </c>
      <c r="I77" s="16"/>
      <c r="J77" s="44" t="s">
        <v>361</v>
      </c>
      <c r="K77" s="45" t="s">
        <v>360</v>
      </c>
      <c r="L77" s="20" t="s">
        <v>26</v>
      </c>
    </row>
    <row r="78" spans="2:12" x14ac:dyDescent="0.55000000000000004">
      <c r="B78" s="1" t="s">
        <v>100</v>
      </c>
      <c r="G78" t="str">
        <f>VLOOKUP(B78,[1]Blad1!$A$1:$G$65536,2,FALSE)</f>
        <v>PORT ZELANDE</v>
      </c>
      <c r="H78" t="str">
        <f>VLOOKUP(B78,[1]Blad1!$A$1:$G$65536,3,FALSE)</f>
        <v>2</v>
      </c>
      <c r="J78" t="str">
        <f>VLOOKUP(B78,[1]Blad1!$A$1:$G$65536,5,FALSE)</f>
        <v>3253 MG</v>
      </c>
      <c r="K78" t="str">
        <f>VLOOKUP(B78,[1]Blad1!$A$1:$G$65536,6,FALSE)</f>
        <v>OUDDORP</v>
      </c>
      <c r="L78" t="str">
        <f>VLOOKUP(B78,[1]Blad1!$A$1:$G$65536,7,FALSE)</f>
        <v>NL</v>
      </c>
    </row>
    <row r="79" spans="2:12" x14ac:dyDescent="0.55000000000000004">
      <c r="B79" s="1" t="s">
        <v>101</v>
      </c>
      <c r="G79" t="str">
        <f>VLOOKUP(B79,[1]Blad1!$A$1:$G$65536,2,FALSE)</f>
        <v>Oosteinderweg</v>
      </c>
      <c r="H79" t="str">
        <f>VLOOKUP(B79,[1]Blad1!$A$1:$G$65536,3,FALSE)</f>
        <v>246</v>
      </c>
      <c r="I79" t="str">
        <f>VLOOKUP(B79,[1]Blad1!$A$1:$G$65536,4,FALSE)</f>
        <v>a</v>
      </c>
      <c r="J79" t="str">
        <f>VLOOKUP(B79,[1]Blad1!$A$1:$G$65536,5,FALSE)</f>
        <v>1432 BB</v>
      </c>
      <c r="K79" t="str">
        <f>VLOOKUP(B79,[1]Blad1!$A$1:$G$65536,6,FALSE)</f>
        <v>AALSMEER</v>
      </c>
      <c r="L79" t="str">
        <f>VLOOKUP(B79,[1]Blad1!$A$1:$G$65536,7,FALSE)</f>
        <v>NL</v>
      </c>
    </row>
    <row r="80" spans="2:12" x14ac:dyDescent="0.55000000000000004">
      <c r="B80" s="1" t="s">
        <v>102</v>
      </c>
      <c r="G80" t="str">
        <f>VLOOKUP(B80,[1]Blad1!$A$1:$G$65536,2,FALSE)</f>
        <v>POSTBUS</v>
      </c>
      <c r="H80" t="str">
        <f>VLOOKUP(B80,[1]Blad1!$A$1:$G$65536,3,FALSE)</f>
        <v>18752</v>
      </c>
      <c r="J80" t="str">
        <f>VLOOKUP(B80,[1]Blad1!$A$1:$G$65536,5,FALSE)</f>
        <v>2502 ET</v>
      </c>
      <c r="K80" t="str">
        <f>VLOOKUP(B80,[1]Blad1!$A$1:$G$65536,6,FALSE)</f>
        <v>DEN HAAG</v>
      </c>
      <c r="L80" t="str">
        <f>VLOOKUP(B80,[1]Blad1!$A$1:$G$65536,7,FALSE)</f>
        <v>NL</v>
      </c>
    </row>
    <row r="81" spans="1:21" x14ac:dyDescent="0.55000000000000004">
      <c r="B81" s="1" t="s">
        <v>103</v>
      </c>
      <c r="G81" t="str">
        <f>VLOOKUP(B81,[1]Blad1!$A$1:$G$65536,2,FALSE)</f>
        <v>Butaanstraat</v>
      </c>
      <c r="H81" t="str">
        <f>VLOOKUP(B81,[1]Blad1!$A$1:$G$65536,3,FALSE)</f>
        <v>12</v>
      </c>
      <c r="J81" t="s">
        <v>291</v>
      </c>
      <c r="K81" t="s">
        <v>290</v>
      </c>
      <c r="L81" t="str">
        <f>VLOOKUP(B81,[1]Blad1!$A$1:$G$65536,7,FALSE)</f>
        <v>NL</v>
      </c>
    </row>
    <row r="82" spans="1:21" s="42" customFormat="1" x14ac:dyDescent="0.55000000000000004">
      <c r="A82" s="1"/>
      <c r="B82" s="1" t="s">
        <v>103</v>
      </c>
      <c r="G82" s="46" t="s">
        <v>351</v>
      </c>
      <c r="H82" s="42">
        <v>17</v>
      </c>
      <c r="J82" s="47" t="s">
        <v>363</v>
      </c>
      <c r="K82" s="48" t="s">
        <v>362</v>
      </c>
      <c r="L82" s="42" t="str">
        <f>VLOOKUP(B82,[1]Blad1!$A$1:$G$65536,7,FALSE)</f>
        <v>NL</v>
      </c>
      <c r="U82" s="15"/>
    </row>
    <row r="83" spans="1:21" x14ac:dyDescent="0.55000000000000004">
      <c r="B83" s="1" t="s">
        <v>104</v>
      </c>
      <c r="G83" t="str">
        <f>VLOOKUP(B83,[1]Blad1!$A$1:$G$65536,2,FALSE)</f>
        <v>NIEUW KADE</v>
      </c>
      <c r="H83" t="str">
        <f>VLOOKUP(B83,[1]Blad1!$A$1:$G$65536,3,FALSE)</f>
        <v>25</v>
      </c>
      <c r="J83" t="str">
        <f>VLOOKUP(B83,[1]Blad1!$A$1:$G$65536,5,FALSE)</f>
        <v>1948 NJ</v>
      </c>
      <c r="K83" t="str">
        <f>VLOOKUP(B83,[1]Blad1!$A$1:$G$65536,6,FALSE)</f>
        <v>BEVERWIJK</v>
      </c>
      <c r="L83" t="str">
        <f>VLOOKUP(B83,[1]Blad1!$A$1:$G$65536,7,FALSE)</f>
        <v>NL</v>
      </c>
    </row>
    <row r="84" spans="1:21" x14ac:dyDescent="0.55000000000000004">
      <c r="B84" s="1" t="s">
        <v>105</v>
      </c>
      <c r="G84" t="str">
        <f>VLOOKUP(B84,[1]Blad1!$A$1:$G$65536,2,FALSE)</f>
        <v>Stephensonstraat</v>
      </c>
      <c r="H84" t="str">
        <f>VLOOKUP(B84,[1]Blad1!$A$1:$G$65536,3,FALSE)</f>
        <v>39</v>
      </c>
      <c r="J84" t="str">
        <f>VLOOKUP(B84,[1]Blad1!$A$1:$G$65536,5,FALSE)</f>
        <v>7903 AS</v>
      </c>
      <c r="K84" t="str">
        <f>VLOOKUP(B84,[1]Blad1!$A$1:$G$65536,6,FALSE)</f>
        <v>HOOGEVEEN</v>
      </c>
      <c r="L84" t="str">
        <f>VLOOKUP(B84,[1]Blad1!$A$1:$G$65536,7,FALSE)</f>
        <v>NL</v>
      </c>
    </row>
    <row r="85" spans="1:21" x14ac:dyDescent="0.55000000000000004">
      <c r="B85" s="1" t="s">
        <v>106</v>
      </c>
      <c r="G85" t="str">
        <f>VLOOKUP(B85,[1]Blad1!$A$1:$G$65536,2,FALSE)</f>
        <v>POSTBUS</v>
      </c>
      <c r="H85" t="str">
        <f>VLOOKUP(B85,[1]Blad1!$A$1:$G$65536,3,FALSE)</f>
        <v>77</v>
      </c>
      <c r="J85" t="str">
        <f>VLOOKUP(B85,[1]Blad1!$A$1:$G$65536,5,FALSE)</f>
        <v>7740 AB</v>
      </c>
      <c r="K85" t="str">
        <f>VLOOKUP(B85,[1]Blad1!$A$1:$G$65536,6,FALSE)</f>
        <v>COEVORDEN</v>
      </c>
      <c r="L85" t="str">
        <f>VLOOKUP(B85,[1]Blad1!$A$1:$G$65536,7,FALSE)</f>
        <v>NL</v>
      </c>
    </row>
    <row r="86" spans="1:21" x14ac:dyDescent="0.55000000000000004">
      <c r="B86" s="1" t="s">
        <v>107</v>
      </c>
      <c r="G86" t="str">
        <f>VLOOKUP(B86,[1]Blad1!$A$1:$G$65536,2,FALSE)</f>
        <v>SCHOUWBERG</v>
      </c>
      <c r="H86" t="str">
        <f>VLOOKUP(B86,[1]Blad1!$A$1:$G$65536,3,FALSE)</f>
        <v>7</v>
      </c>
      <c r="J86" t="str">
        <f>VLOOKUP(B86,[1]Blad1!$A$1:$G$65536,5,FALSE)</f>
        <v>5527 JH</v>
      </c>
      <c r="K86" t="str">
        <f>VLOOKUP(B86,[1]Blad1!$A$1:$G$65536,6,FALSE)</f>
        <v>Hapert</v>
      </c>
      <c r="L86" t="str">
        <f>VLOOKUP(B86,[1]Blad1!$A$1:$G$65536,7,FALSE)</f>
        <v>NL</v>
      </c>
    </row>
    <row r="87" spans="1:21" x14ac:dyDescent="0.55000000000000004">
      <c r="B87" s="1" t="s">
        <v>108</v>
      </c>
      <c r="G87" t="str">
        <f>VLOOKUP(B87,[1]Blad1!$A$1:$G$65536,2,FALSE)</f>
        <v>LAAGHEIDEWEG</v>
      </c>
      <c r="H87" t="str">
        <f>VLOOKUP(B87,[1]Blad1!$A$1:$G$65536,3,FALSE)</f>
        <v>11</v>
      </c>
      <c r="J87" t="str">
        <f>VLOOKUP(B87,[1]Blad1!$A$1:$G$65536,5,FALSE)</f>
        <v>5966 PL</v>
      </c>
      <c r="K87" t="str">
        <f>VLOOKUP(B87,[1]Blad1!$A$1:$G$65536,6,FALSE)</f>
        <v>AMERICA (HORST)</v>
      </c>
      <c r="L87" t="str">
        <f>VLOOKUP(B87,[1]Blad1!$A$1:$G$65536,7,FALSE)</f>
        <v>NL</v>
      </c>
    </row>
    <row r="88" spans="1:21" x14ac:dyDescent="0.55000000000000004">
      <c r="B88" s="1" t="s">
        <v>109</v>
      </c>
      <c r="G88" t="str">
        <f>VLOOKUP(B88,[1]Blad1!$A$1:$G$65536,2,FALSE)</f>
        <v>HOMMERSUMSEWEG</v>
      </c>
      <c r="H88" t="str">
        <f>VLOOKUP(B88,[1]Blad1!$A$1:$G$65536,3,FALSE)</f>
        <v>43</v>
      </c>
      <c r="J88" t="str">
        <f>VLOOKUP(B88,[1]Blad1!$A$1:$G$65536,5,FALSE)</f>
        <v>6508 MC</v>
      </c>
      <c r="K88" t="str">
        <f>VLOOKUP(B88,[1]Blad1!$A$1:$G$65536,6,FALSE)</f>
        <v>HEYEN</v>
      </c>
      <c r="L88" t="str">
        <f>VLOOKUP(B88,[1]Blad1!$A$1:$G$65536,7,FALSE)</f>
        <v>NL</v>
      </c>
    </row>
    <row r="89" spans="1:21" x14ac:dyDescent="0.55000000000000004">
      <c r="B89" s="1" t="s">
        <v>110</v>
      </c>
      <c r="G89" t="str">
        <f>VLOOKUP(B89,[1]Blad1!$A$1:$G$65536,2,FALSE)</f>
        <v>KEMPERVENNENDREEF</v>
      </c>
      <c r="H89" t="str">
        <f>VLOOKUP(B89,[1]Blad1!$A$1:$G$65536,3,FALSE)</f>
        <v>8</v>
      </c>
      <c r="J89" t="str">
        <f>VLOOKUP(B89,[1]Blad1!$A$1:$G$65536,5,FALSE)</f>
        <v>5563 VB</v>
      </c>
      <c r="K89" t="str">
        <f>VLOOKUP(B89,[1]Blad1!$A$1:$G$65536,6,FALSE)</f>
        <v>WESTERHOVEN</v>
      </c>
      <c r="L89" t="str">
        <f>VLOOKUP(B89,[1]Blad1!$A$1:$G$65536,7,FALSE)</f>
        <v>NL</v>
      </c>
    </row>
    <row r="90" spans="1:21" x14ac:dyDescent="0.55000000000000004">
      <c r="B90" s="1" t="s">
        <v>111</v>
      </c>
      <c r="G90" t="str">
        <f>VLOOKUP(B90,[1]Blad1!$A$1:$G$65536,2,FALSE)</f>
        <v>Lichterweg</v>
      </c>
      <c r="H90" t="str">
        <f>VLOOKUP(B90,[1]Blad1!$A$1:$G$65536,3,FALSE)</f>
        <v>1</v>
      </c>
      <c r="J90" t="str">
        <f>VLOOKUP(B90,[1]Blad1!$A$1:$G$65536,5,FALSE)</f>
        <v>8042 PW</v>
      </c>
      <c r="K90" t="str">
        <f>VLOOKUP(B90,[1]Blad1!$A$1:$G$65536,6,FALSE)</f>
        <v>Zwolle</v>
      </c>
      <c r="L90" t="str">
        <f>VLOOKUP(B90,[1]Blad1!$A$1:$G$65536,7,FALSE)</f>
        <v>NL</v>
      </c>
    </row>
    <row r="91" spans="1:21" x14ac:dyDescent="0.55000000000000004">
      <c r="B91" s="1" t="s">
        <v>112</v>
      </c>
      <c r="G91" t="str">
        <f>VLOOKUP(B91,[1]Blad1!$A$1:$G$65536,2,FALSE)</f>
        <v>Ondernemingsweg</v>
      </c>
      <c r="H91" t="str">
        <f>VLOOKUP(B91,[1]Blad1!$A$1:$G$65536,3,FALSE)</f>
        <v>5</v>
      </c>
      <c r="J91" t="str">
        <f>VLOOKUP(B91,[1]Blad1!$A$1:$G$65536,5,FALSE)</f>
        <v>2404 HM</v>
      </c>
      <c r="K91" t="str">
        <f>VLOOKUP(B91,[1]Blad1!$A$1:$G$65536,6,FALSE)</f>
        <v>Alphen aan den Rijn</v>
      </c>
      <c r="L91" t="str">
        <f>VLOOKUP(B91,[1]Blad1!$A$1:$G$65536,7,FALSE)</f>
        <v>NL</v>
      </c>
    </row>
    <row r="92" spans="1:21" s="42" customFormat="1" x14ac:dyDescent="0.55000000000000004">
      <c r="A92" s="1"/>
      <c r="B92" s="1" t="s">
        <v>112</v>
      </c>
      <c r="G92" s="50" t="s">
        <v>364</v>
      </c>
      <c r="H92" s="42">
        <v>231</v>
      </c>
      <c r="J92" s="51" t="s">
        <v>366</v>
      </c>
      <c r="K92" s="52" t="s">
        <v>365</v>
      </c>
      <c r="L92" s="20" t="s">
        <v>26</v>
      </c>
      <c r="U92" s="15"/>
    </row>
    <row r="93" spans="1:21" x14ac:dyDescent="0.55000000000000004">
      <c r="B93" s="1" t="s">
        <v>113</v>
      </c>
      <c r="G93" t="str">
        <f>VLOOKUP(B93,[1]Blad1!$A$1:$G$65536,2,FALSE)</f>
        <v>Pannebakkerijen</v>
      </c>
      <c r="H93" t="str">
        <f>VLOOKUP(B93,[1]Blad1!$A$1:$G$65536,3,FALSE)</f>
        <v>41</v>
      </c>
      <c r="J93" t="str">
        <f>VLOOKUP(B93,[1]Blad1!$A$1:$G$65536,5,FALSE)</f>
        <v>3443 CA</v>
      </c>
      <c r="K93" t="str">
        <f>VLOOKUP(B93,[1]Blad1!$A$1:$G$65536,6,FALSE)</f>
        <v>Woerden</v>
      </c>
      <c r="L93" t="str">
        <f>VLOOKUP(B93,[1]Blad1!$A$1:$G$65536,7,FALSE)</f>
        <v>NL</v>
      </c>
    </row>
    <row r="94" spans="1:21" x14ac:dyDescent="0.55000000000000004">
      <c r="B94" s="1" t="s">
        <v>114</v>
      </c>
      <c r="G94" t="str">
        <f>VLOOKUP(B94,[1]Blad1!$A$1:$G$65536,2,FALSE)</f>
        <v>Bus</v>
      </c>
      <c r="H94" t="str">
        <f>VLOOKUP(B94,[1]Blad1!$A$1:$G$65536,3,FALSE)</f>
        <v>3</v>
      </c>
      <c r="J94" t="str">
        <f>VLOOKUP(B94,[1]Blad1!$A$1:$G$65536,5,FALSE)</f>
        <v>5446 NB</v>
      </c>
      <c r="K94" t="str">
        <f>VLOOKUP(B94,[1]Blad1!$A$1:$G$65536,6,FALSE)</f>
        <v>WANROIJ</v>
      </c>
      <c r="L94" t="str">
        <f>VLOOKUP(B94,[1]Blad1!$A$1:$G$65536,7,FALSE)</f>
        <v>NL</v>
      </c>
    </row>
    <row r="95" spans="1:21" x14ac:dyDescent="0.55000000000000004">
      <c r="B95" s="1" t="s">
        <v>115</v>
      </c>
      <c r="G95" t="str">
        <f>VLOOKUP(B95,[1]Blad1!$A$1:$G$65536,2,FALSE)</f>
        <v>Krimweg</v>
      </c>
      <c r="H95" t="str">
        <f>VLOOKUP(B95,[1]Blad1!$A$1:$G$65536,3,FALSE)</f>
        <v>102</v>
      </c>
      <c r="J95" t="str">
        <f>VLOOKUP(B95,[1]Blad1!$A$1:$G$65536,5,FALSE)</f>
        <v>1795 LS</v>
      </c>
      <c r="K95" t="str">
        <f>VLOOKUP(B95,[1]Blad1!$A$1:$G$65536,6,FALSE)</f>
        <v>DE COCKSDORP TEXEL</v>
      </c>
      <c r="L95" t="str">
        <f>VLOOKUP(B95,[1]Blad1!$A$1:$G$65536,7,FALSE)</f>
        <v>NL</v>
      </c>
    </row>
    <row r="96" spans="1:21" x14ac:dyDescent="0.55000000000000004">
      <c r="B96" s="1" t="s">
        <v>116</v>
      </c>
      <c r="G96" t="str">
        <f>VLOOKUP(B96,[1]Blad1!$A$1:$G$65536,2,FALSE)</f>
        <v>RANDWEG</v>
      </c>
      <c r="H96" t="str">
        <f>VLOOKUP(B96,[1]Blad1!$A$1:$G$65536,3,FALSE)</f>
        <v>21</v>
      </c>
      <c r="J96" t="str">
        <f>VLOOKUP(B96,[1]Blad1!$A$1:$G$65536,5,FALSE)</f>
        <v>6291 DC</v>
      </c>
      <c r="K96" t="str">
        <f>VLOOKUP(B96,[1]Blad1!$A$1:$G$65536,6,FALSE)</f>
        <v>VAALS</v>
      </c>
      <c r="L96" t="str">
        <f>VLOOKUP(B96,[1]Blad1!$A$1:$G$65536,7,FALSE)</f>
        <v>NL</v>
      </c>
    </row>
    <row r="97" spans="1:21" x14ac:dyDescent="0.55000000000000004">
      <c r="B97" s="1" t="s">
        <v>117</v>
      </c>
      <c r="G97" t="str">
        <f>VLOOKUP(B97,[1]Blad1!$A$1:$G$65536,2,FALSE)</f>
        <v>Venekoterweg</v>
      </c>
      <c r="H97" t="str">
        <f>VLOOKUP(B97,[1]Blad1!$A$1:$G$65536,3,FALSE)</f>
        <v>19</v>
      </c>
      <c r="J97" t="str">
        <f>VLOOKUP(B97,[1]Blad1!$A$1:$G$65536,5,FALSE)</f>
        <v>8431 HG</v>
      </c>
      <c r="K97" t="str">
        <f>VLOOKUP(B97,[1]Blad1!$A$1:$G$65536,6,FALSE)</f>
        <v>Oosterwolde FR</v>
      </c>
      <c r="L97" t="str">
        <f>VLOOKUP(B97,[1]Blad1!$A$1:$G$65536,7,FALSE)</f>
        <v>NL</v>
      </c>
    </row>
    <row r="98" spans="1:21" x14ac:dyDescent="0.55000000000000004">
      <c r="B98" s="1" t="s">
        <v>118</v>
      </c>
      <c r="G98" t="str">
        <f>VLOOKUP(B98,[1]Blad1!$A$1:$G$65536,2,FALSE)</f>
        <v>GREVENHOUT</v>
      </c>
      <c r="H98" t="str">
        <f>VLOOKUP(B98,[1]Blad1!$A$1:$G$65536,3,FALSE)</f>
        <v>21</v>
      </c>
      <c r="J98" t="str">
        <f>VLOOKUP(B98,[1]Blad1!$A$1:$G$65536,5,FALSE)</f>
        <v>3888 NR</v>
      </c>
      <c r="K98" t="str">
        <f>VLOOKUP(B98,[1]Blad1!$A$1:$G$65536,6,FALSE)</f>
        <v>UDDEL</v>
      </c>
      <c r="L98" t="str">
        <f>VLOOKUP(B98,[1]Blad1!$A$1:$G$65536,7,FALSE)</f>
        <v>NL</v>
      </c>
    </row>
    <row r="99" spans="1:21" x14ac:dyDescent="0.55000000000000004">
      <c r="B99" s="1" t="s">
        <v>119</v>
      </c>
      <c r="G99" t="str">
        <f>VLOOKUP(B99,[1]Blad1!$A$1:$G$65536,2,FALSE)</f>
        <v>THIJSSEWEG</v>
      </c>
      <c r="H99" t="str">
        <f>VLOOKUP(B99,[1]Blad1!$A$1:$G$65536,3,FALSE)</f>
        <v>19</v>
      </c>
      <c r="I99" t="str">
        <f>VLOOKUP(B99,[1]Blad1!$A$1:$G$65536,4,FALSE)</f>
        <v>A</v>
      </c>
      <c r="J99" t="str">
        <f>VLOOKUP(B99,[1]Blad1!$A$1:$G$65536,5,FALSE)</f>
        <v>4845 PJ</v>
      </c>
      <c r="K99" t="str">
        <f>VLOOKUP(B99,[1]Blad1!$A$1:$G$65536,6,FALSE)</f>
        <v>WAGENBERG</v>
      </c>
      <c r="L99" t="str">
        <f>VLOOKUP(B99,[1]Blad1!$A$1:$G$65536,7,FALSE)</f>
        <v>NL</v>
      </c>
    </row>
    <row r="100" spans="1:21" x14ac:dyDescent="0.55000000000000004">
      <c r="B100" s="1" t="s">
        <v>120</v>
      </c>
      <c r="G100" t="str">
        <f>VLOOKUP(B100,[1]Blad1!$A$1:$G$65536,2,FALSE)</f>
        <v>Raalterweg</v>
      </c>
      <c r="H100" t="str">
        <f>VLOOKUP(B100,[1]Blad1!$A$1:$G$65536,3,FALSE)</f>
        <v>81</v>
      </c>
      <c r="I100" t="str">
        <f>VLOOKUP(B100,[1]Blad1!$A$1:$G$65536,4,FALSE)</f>
        <v>e</v>
      </c>
      <c r="J100" t="str">
        <f>VLOOKUP(B100,[1]Blad1!$A$1:$G$65536,5,FALSE)</f>
        <v>8124 AC</v>
      </c>
      <c r="K100" t="str">
        <f>VLOOKUP(B100,[1]Blad1!$A$1:$G$65536,6,FALSE)</f>
        <v>Wesepe</v>
      </c>
      <c r="L100" t="str">
        <f>VLOOKUP(B100,[1]Blad1!$A$1:$G$65536,7,FALSE)</f>
        <v>NL</v>
      </c>
    </row>
    <row r="101" spans="1:21" x14ac:dyDescent="0.55000000000000004">
      <c r="B101" s="1" t="s">
        <v>121</v>
      </c>
      <c r="G101" t="str">
        <f>VLOOKUP(B101,[1]Blad1!$A$1:$G$65536,2,FALSE)</f>
        <v>LEIDSEVAART</v>
      </c>
      <c r="H101" t="str">
        <f>VLOOKUP(B101,[1]Blad1!$A$1:$G$65536,3,FALSE)</f>
        <v>36</v>
      </c>
      <c r="J101" t="str">
        <f>VLOOKUP(B101,[1]Blad1!$A$1:$G$65536,5,FALSE)</f>
        <v>2114 AD</v>
      </c>
      <c r="K101" t="str">
        <f>VLOOKUP(B101,[1]Blad1!$A$1:$G$65536,6,FALSE)</f>
        <v>VOGELENZANG</v>
      </c>
      <c r="L101" t="str">
        <f>VLOOKUP(B101,[1]Blad1!$A$1:$G$65536,7,FALSE)</f>
        <v>NL</v>
      </c>
    </row>
    <row r="102" spans="1:21" x14ac:dyDescent="0.55000000000000004">
      <c r="B102" s="1" t="s">
        <v>122</v>
      </c>
      <c r="G102" t="str">
        <f>VLOOKUP(B102,[1]Blad1!$A$1:$G$65536,2,FALSE)</f>
        <v>Bezoem</v>
      </c>
      <c r="H102" t="s">
        <v>292</v>
      </c>
      <c r="J102" t="str">
        <f>VLOOKUP(B102,[1]Blad1!$A$1:$G$65536,5,FALSE)</f>
        <v>4206 CA</v>
      </c>
      <c r="K102" t="str">
        <f>VLOOKUP(B102,[1]Blad1!$A$1:$G$65536,6,FALSE)</f>
        <v>Gorinchem</v>
      </c>
      <c r="L102" t="str">
        <f>VLOOKUP(B102,[1]Blad1!$A$1:$G$65536,7,FALSE)</f>
        <v>NL</v>
      </c>
    </row>
    <row r="103" spans="1:21" s="49" customFormat="1" x14ac:dyDescent="0.55000000000000004">
      <c r="A103" s="1"/>
      <c r="B103" s="1" t="s">
        <v>122</v>
      </c>
      <c r="G103" s="56" t="s">
        <v>370</v>
      </c>
      <c r="H103" s="49">
        <v>12</v>
      </c>
      <c r="J103" s="57" t="s">
        <v>372</v>
      </c>
      <c r="K103" s="58" t="s">
        <v>371</v>
      </c>
      <c r="L103" s="49" t="str">
        <f>VLOOKUP(B103,[1]Blad1!$A$1:$G$65536,7,FALSE)</f>
        <v>NL</v>
      </c>
      <c r="U103" s="15"/>
    </row>
    <row r="104" spans="1:21" s="49" customFormat="1" x14ac:dyDescent="0.55000000000000004">
      <c r="A104" s="1"/>
      <c r="B104" s="1" t="s">
        <v>122</v>
      </c>
      <c r="G104" s="59" t="s">
        <v>373</v>
      </c>
      <c r="H104" s="49">
        <v>1</v>
      </c>
      <c r="J104" s="60" t="s">
        <v>336</v>
      </c>
      <c r="K104" s="61" t="s">
        <v>335</v>
      </c>
      <c r="L104" s="20" t="s">
        <v>26</v>
      </c>
      <c r="U104" s="15"/>
    </row>
    <row r="105" spans="1:21" s="49" customFormat="1" x14ac:dyDescent="0.55000000000000004">
      <c r="A105" s="1"/>
      <c r="B105" s="1" t="s">
        <v>122</v>
      </c>
      <c r="G105" s="53" t="s">
        <v>367</v>
      </c>
      <c r="H105" s="49">
        <v>86</v>
      </c>
      <c r="J105" s="54" t="s">
        <v>369</v>
      </c>
      <c r="K105" s="55" t="s">
        <v>368</v>
      </c>
      <c r="L105" s="49" t="str">
        <f>VLOOKUP(B105,[1]Blad1!$A$1:$G$65536,7,FALSE)</f>
        <v>NL</v>
      </c>
      <c r="U105" s="15"/>
    </row>
    <row r="106" spans="1:21" x14ac:dyDescent="0.55000000000000004">
      <c r="B106" s="1" t="s">
        <v>123</v>
      </c>
      <c r="G106" t="str">
        <f>VLOOKUP(B106,[1]Blad1!$A$1:$G$65536,2,FALSE)</f>
        <v>VERFMOLENSTRAAT</v>
      </c>
      <c r="H106" t="str">
        <f>VLOOKUP(B106,[1]Blad1!$A$1:$G$65536,3,FALSE)</f>
        <v>40</v>
      </c>
      <c r="J106" t="str">
        <f>VLOOKUP(B106,[1]Blad1!$A$1:$G$65536,5,FALSE)</f>
        <v>1333 AV</v>
      </c>
      <c r="K106" t="str">
        <f>VLOOKUP(B106,[1]Blad1!$A$1:$G$65536,6,FALSE)</f>
        <v>ALMERE</v>
      </c>
      <c r="L106" t="str">
        <f>VLOOKUP(B106,[1]Blad1!$A$1:$G$65536,7,FALSE)</f>
        <v>NL</v>
      </c>
    </row>
    <row r="107" spans="1:21" x14ac:dyDescent="0.55000000000000004">
      <c r="B107" s="1" t="s">
        <v>124</v>
      </c>
      <c r="G107" t="str">
        <f>VLOOKUP(B107,[1]Blad1!$A$1:$G$65536,2,FALSE)</f>
        <v>Postbus</v>
      </c>
      <c r="H107" t="str">
        <f>VLOOKUP(B107,[1]Blad1!$A$1:$G$65536,3,FALSE)</f>
        <v>476</v>
      </c>
      <c r="J107" t="str">
        <f>VLOOKUP(B107,[1]Blad1!$A$1:$G$65536,5,FALSE)</f>
        <v>2240 AL</v>
      </c>
      <c r="K107" t="str">
        <f>VLOOKUP(B107,[1]Blad1!$A$1:$G$65536,6,FALSE)</f>
        <v>WASSENAAR</v>
      </c>
      <c r="L107" t="str">
        <f>VLOOKUP(B107,[1]Blad1!$A$1:$G$65536,7,FALSE)</f>
        <v>NL</v>
      </c>
    </row>
    <row r="108" spans="1:21" x14ac:dyDescent="0.55000000000000004">
      <c r="B108" s="1" t="s">
        <v>125</v>
      </c>
      <c r="G108" t="str">
        <f>VLOOKUP(B108,[1]Blad1!$A$1:$G$65536,2,FALSE)</f>
        <v>BEDRIJFSWEG</v>
      </c>
      <c r="H108" t="str">
        <f>VLOOKUP(B108,[1]Blad1!$A$1:$G$65536,3,FALSE)</f>
        <v>9</v>
      </c>
      <c r="J108" t="str">
        <f>VLOOKUP(B108,[1]Blad1!$A$1:$G$65536,5,FALSE)</f>
        <v>1785 AK</v>
      </c>
      <c r="K108" t="str">
        <f>VLOOKUP(B108,[1]Blad1!$A$1:$G$65536,6,FALSE)</f>
        <v>Den Helder</v>
      </c>
      <c r="L108" t="str">
        <f>VLOOKUP(B108,[1]Blad1!$A$1:$G$65536,7,FALSE)</f>
        <v>NL</v>
      </c>
    </row>
    <row r="109" spans="1:21" x14ac:dyDescent="0.55000000000000004">
      <c r="B109" s="1" t="s">
        <v>126</v>
      </c>
      <c r="G109" t="str">
        <f>VLOOKUP(B109,[1]Blad1!$A$1:$G$65536,2,FALSE)</f>
        <v>Landuwerweg</v>
      </c>
      <c r="H109" t="str">
        <f>VLOOKUP(B109,[1]Blad1!$A$1:$G$65536,3,FALSE)</f>
        <v>17</v>
      </c>
      <c r="J109" t="str">
        <f>VLOOKUP(B109,[1]Blad1!$A$1:$G$65536,5,FALSE)</f>
        <v>7451 SP</v>
      </c>
      <c r="K109" t="str">
        <f>VLOOKUP(B109,[1]Blad1!$A$1:$G$65536,6,FALSE)</f>
        <v>HOLTEN</v>
      </c>
      <c r="L109" t="str">
        <f>VLOOKUP(B109,[1]Blad1!$A$1:$G$65536,7,FALSE)</f>
        <v>NL</v>
      </c>
    </row>
    <row r="110" spans="1:21" x14ac:dyDescent="0.55000000000000004">
      <c r="B110" s="1" t="s">
        <v>127</v>
      </c>
      <c r="G110" t="str">
        <f>VLOOKUP(B110,[1]Blad1!$A$1:$G$65536,2,FALSE)</f>
        <v>Leppedyk</v>
      </c>
      <c r="H110" t="str">
        <f>VLOOKUP(B110,[1]Blad1!$A$1:$G$65536,3,FALSE)</f>
        <v>1</v>
      </c>
      <c r="I110" t="str">
        <f>VLOOKUP(B110,[1]Blad1!$A$1:$G$65536,4,FALSE)</f>
        <v>a</v>
      </c>
      <c r="J110" t="str">
        <f>VLOOKUP(B110,[1]Blad1!$A$1:$G$65536,5,FALSE)</f>
        <v>9245 HB</v>
      </c>
      <c r="K110" t="str">
        <f>VLOOKUP(B110,[1]Blad1!$A$1:$G$65536,6,FALSE)</f>
        <v>NIJ BEETS</v>
      </c>
      <c r="L110" t="str">
        <f>VLOOKUP(B110,[1]Blad1!$A$1:$G$65536,7,FALSE)</f>
        <v>NL</v>
      </c>
    </row>
    <row r="111" spans="1:21" x14ac:dyDescent="0.55000000000000004">
      <c r="B111" s="1" t="s">
        <v>128</v>
      </c>
      <c r="G111" t="str">
        <f>VLOOKUP(B111,[1]Blad1!$A$1:$G$65536,2,FALSE)</f>
        <v>Romeinstraat</v>
      </c>
      <c r="H111" t="str">
        <f>VLOOKUP(B111,[1]Blad1!$A$1:$G$65536,3,FALSE)</f>
        <v>22</v>
      </c>
      <c r="J111" t="str">
        <f>VLOOKUP(B111,[1]Blad1!$A$1:$G$65536,5,FALSE)</f>
        <v>2161 CP</v>
      </c>
      <c r="K111" t="str">
        <f>VLOOKUP(B111,[1]Blad1!$A$1:$G$65536,6,FALSE)</f>
        <v>LISSE</v>
      </c>
      <c r="L111" t="str">
        <f>VLOOKUP(B111,[1]Blad1!$A$1:$G$65536,7,FALSE)</f>
        <v>NL</v>
      </c>
    </row>
    <row r="112" spans="1:21" x14ac:dyDescent="0.55000000000000004">
      <c r="B112" s="1" t="s">
        <v>129</v>
      </c>
      <c r="G112" t="str">
        <f>VLOOKUP(B112,[1]Blad1!$A$1:$G$65536,2,FALSE)</f>
        <v>Wegtersweg</v>
      </c>
      <c r="H112" t="str">
        <f>VLOOKUP(B112,[1]Blad1!$A$1:$G$65536,3,FALSE)</f>
        <v>33</v>
      </c>
      <c r="J112" t="str">
        <f>VLOOKUP(B112,[1]Blad1!$A$1:$G$65536,5,FALSE)</f>
        <v>7556 BR</v>
      </c>
      <c r="K112" t="str">
        <f>VLOOKUP(B112,[1]Blad1!$A$1:$G$65536,6,FALSE)</f>
        <v>HENGELO</v>
      </c>
      <c r="L112" t="str">
        <f>VLOOKUP(B112,[1]Blad1!$A$1:$G$65536,7,FALSE)</f>
        <v>NL</v>
      </c>
    </row>
    <row r="113" spans="1:21" x14ac:dyDescent="0.55000000000000004">
      <c r="B113" s="1" t="s">
        <v>130</v>
      </c>
      <c r="G113" t="str">
        <f>VLOOKUP(B113,[1]Blad1!$A$1:$G$65536,2,FALSE)</f>
        <v>voorland</v>
      </c>
      <c r="H113" t="str">
        <f>VLOOKUP(B113,[1]Blad1!$A$1:$G$65536,3,FALSE)</f>
        <v>1</v>
      </c>
      <c r="J113" t="str">
        <f>VLOOKUP(B113,[1]Blad1!$A$1:$G$65536,5,FALSE)</f>
        <v>1601 EZ</v>
      </c>
      <c r="K113" t="str">
        <f>VLOOKUP(B113,[1]Blad1!$A$1:$G$65536,6,FALSE)</f>
        <v>Enkhuizen</v>
      </c>
      <c r="L113" t="str">
        <f>VLOOKUP(B113,[1]Blad1!$A$1:$G$65536,7,FALSE)</f>
        <v>NL</v>
      </c>
    </row>
    <row r="114" spans="1:21" x14ac:dyDescent="0.55000000000000004">
      <c r="B114" s="1" t="s">
        <v>131</v>
      </c>
      <c r="G114" t="str">
        <f>VLOOKUP(B114,[1]Blad1!$A$1:$G$65536,2,FALSE)</f>
        <v>DE COMPAGNIE</v>
      </c>
      <c r="H114" t="str">
        <f>VLOOKUP(B114,[1]Blad1!$A$1:$G$65536,3,FALSE)</f>
        <v>16</v>
      </c>
      <c r="J114" t="str">
        <f>VLOOKUP(B114,[1]Blad1!$A$1:$G$65536,5,FALSE)</f>
        <v>1698 AG</v>
      </c>
      <c r="K114" t="str">
        <f>VLOOKUP(B114,[1]Blad1!$A$1:$G$65536,6,FALSE)</f>
        <v>ZWAAG</v>
      </c>
      <c r="L114" t="str">
        <f>VLOOKUP(B114,[1]Blad1!$A$1:$G$65536,7,FALSE)</f>
        <v>NL</v>
      </c>
    </row>
    <row r="115" spans="1:21" x14ac:dyDescent="0.55000000000000004">
      <c r="B115" s="1" t="s">
        <v>132</v>
      </c>
      <c r="G115" t="str">
        <f>VLOOKUP(B115,[1]Blad1!$A$1:$G$65536,2,FALSE)</f>
        <v>Van Hobokenstraat</v>
      </c>
      <c r="H115" t="str">
        <f>VLOOKUP(B115,[1]Blad1!$A$1:$G$65536,3,FALSE)</f>
        <v>6</v>
      </c>
      <c r="J115" t="str">
        <f>VLOOKUP(B115,[1]Blad1!$A$1:$G$65536,5,FALSE)</f>
        <v>9403 BD</v>
      </c>
      <c r="K115" t="str">
        <f>VLOOKUP(B115,[1]Blad1!$A$1:$G$65536,6,FALSE)</f>
        <v>Assen</v>
      </c>
      <c r="L115" t="str">
        <f>VLOOKUP(B115,[1]Blad1!$A$1:$G$65536,7,FALSE)</f>
        <v>NL</v>
      </c>
    </row>
    <row r="116" spans="1:21" x14ac:dyDescent="0.55000000000000004">
      <c r="B116" s="1" t="s">
        <v>133</v>
      </c>
      <c r="G116" t="str">
        <f>VLOOKUP(B116,[1]Blad1!$A$1:$G$65536,2,FALSE)</f>
        <v>LANGEWOLDERWEG</v>
      </c>
      <c r="H116" t="str">
        <f>VLOOKUP(B116,[1]Blad1!$A$1:$G$65536,3,FALSE)</f>
        <v>49</v>
      </c>
      <c r="J116" t="str">
        <f>VLOOKUP(B116,[1]Blad1!$A$1:$G$65536,5,FALSE)</f>
        <v>9821 PN</v>
      </c>
      <c r="K116" t="str">
        <f>VLOOKUP(B116,[1]Blad1!$A$1:$G$65536,6,FALSE)</f>
        <v>Oldekerk</v>
      </c>
      <c r="L116" t="str">
        <f>VLOOKUP(B116,[1]Blad1!$A$1:$G$65536,7,FALSE)</f>
        <v>NL</v>
      </c>
    </row>
    <row r="117" spans="1:21" x14ac:dyDescent="0.55000000000000004">
      <c r="B117" s="1" t="s">
        <v>134</v>
      </c>
      <c r="G117" t="str">
        <f>VLOOKUP(B117,[1]Blad1!$A$1:$G$65536,2,FALSE)</f>
        <v>Rietemastraat</v>
      </c>
      <c r="H117" t="str">
        <f>VLOOKUP(B117,[1]Blad1!$A$1:$G$65536,3,FALSE)</f>
        <v>12</v>
      </c>
      <c r="J117" t="str">
        <f>VLOOKUP(B117,[1]Blad1!$A$1:$G$65536,5,FALSE)</f>
        <v>9965 RT</v>
      </c>
      <c r="K117" t="str">
        <f>VLOOKUP(B117,[1]Blad1!$A$1:$G$65536,6,FALSE)</f>
        <v>Leens</v>
      </c>
      <c r="L117" t="str">
        <f>VLOOKUP(B117,[1]Blad1!$A$1:$G$65536,7,FALSE)</f>
        <v>NL</v>
      </c>
    </row>
    <row r="118" spans="1:21" x14ac:dyDescent="0.55000000000000004">
      <c r="B118" s="1" t="s">
        <v>135</v>
      </c>
      <c r="G118" t="str">
        <f>VLOOKUP(B118,[1]Blad1!$A$1:$G$65536,2,FALSE)</f>
        <v>Ertsstraat</v>
      </c>
      <c r="H118" t="str">
        <f>VLOOKUP(B118,[1]Blad1!$A$1:$G$65536,3,FALSE)</f>
        <v>11</v>
      </c>
      <c r="J118" t="str">
        <f>VLOOKUP(B118,[1]Blad1!$A$1:$G$65536,5,FALSE)</f>
        <v>8263 BN</v>
      </c>
      <c r="K118" t="str">
        <f>VLOOKUP(B118,[1]Blad1!$A$1:$G$65536,6,FALSE)</f>
        <v>Kampen</v>
      </c>
      <c r="L118" t="str">
        <f>VLOOKUP(B118,[1]Blad1!$A$1:$G$65536,7,FALSE)</f>
        <v>NL</v>
      </c>
    </row>
    <row r="119" spans="1:21" x14ac:dyDescent="0.55000000000000004">
      <c r="B119" s="1" t="s">
        <v>136</v>
      </c>
      <c r="G119" t="str">
        <f>VLOOKUP(B119,[1]Blad1!$A$1:$G$65536,2,FALSE)</f>
        <v>Gruitrodekiezel</v>
      </c>
      <c r="H119" t="str">
        <f>VLOOKUP(B119,[1]Blad1!$A$1:$G$65536,3,FALSE)</f>
        <v>53</v>
      </c>
      <c r="J119" t="str">
        <f>VLOOKUP(B119,[1]Blad1!$A$1:$G$65536,5,FALSE)</f>
        <v>B 3960</v>
      </c>
      <c r="K119" t="str">
        <f>VLOOKUP(B119,[1]Blad1!$A$1:$G$65536,6,FALSE)</f>
        <v>BREE    (BELGIE)</v>
      </c>
      <c r="L119" t="str">
        <f>VLOOKUP(B119,[1]Blad1!$A$1:$G$65536,7,FALSE)</f>
        <v>BE</v>
      </c>
    </row>
    <row r="120" spans="1:21" x14ac:dyDescent="0.55000000000000004">
      <c r="B120" s="1" t="s">
        <v>137</v>
      </c>
      <c r="G120" t="str">
        <f>VLOOKUP(B120,[1]Blad1!$A$1:$G$65536,2,FALSE)</f>
        <v>Topinger Strasse</v>
      </c>
      <c r="H120" t="str">
        <f>VLOOKUP(B120,[1]Blad1!$A$1:$G$65536,3,FALSE)</f>
        <v>69</v>
      </c>
      <c r="J120" s="17" t="s">
        <v>293</v>
      </c>
      <c r="K120" t="s">
        <v>294</v>
      </c>
      <c r="L120" t="str">
        <f>VLOOKUP(B120,[1]Blad1!$A$1:$G$65536,7,FALSE)</f>
        <v>DE</v>
      </c>
    </row>
    <row r="121" spans="1:21" x14ac:dyDescent="0.55000000000000004">
      <c r="B121" s="1" t="s">
        <v>138</v>
      </c>
      <c r="G121" t="str">
        <f>VLOOKUP(B121,[1]Blad1!$A$1:$G$65536,2,FALSE)</f>
        <v>De Wisboom</v>
      </c>
      <c r="H121" t="str">
        <f>VLOOKUP(B121,[1]Blad1!$A$1:$G$65536,3,FALSE)</f>
        <v>13</v>
      </c>
      <c r="J121" t="str">
        <f>VLOOKUP(B121,[1]Blad1!$A$1:$G$65536,5,FALSE)</f>
        <v>5384 HD</v>
      </c>
      <c r="K121" t="str">
        <f>VLOOKUP(B121,[1]Blad1!$A$1:$G$65536,6,FALSE)</f>
        <v>Heesch</v>
      </c>
      <c r="L121" t="str">
        <f>VLOOKUP(B121,[1]Blad1!$A$1:$G$65536,7,FALSE)</f>
        <v>NL</v>
      </c>
    </row>
    <row r="122" spans="1:21" s="49" customFormat="1" x14ac:dyDescent="0.55000000000000004">
      <c r="A122" s="1"/>
      <c r="B122" s="1" t="s">
        <v>138</v>
      </c>
      <c r="G122" s="62" t="s">
        <v>370</v>
      </c>
      <c r="H122" s="49">
        <v>31</v>
      </c>
      <c r="J122" s="63" t="s">
        <v>375</v>
      </c>
      <c r="K122" s="64" t="s">
        <v>374</v>
      </c>
      <c r="L122" s="20" t="s">
        <v>26</v>
      </c>
      <c r="U122" s="15"/>
    </row>
    <row r="123" spans="1:21" x14ac:dyDescent="0.55000000000000004">
      <c r="B123" s="1" t="s">
        <v>139</v>
      </c>
      <c r="G123" t="str">
        <f>VLOOKUP(B123,[1]Blad1!$A$1:$G$65536,2,FALSE)</f>
        <v>Computerweg</v>
      </c>
      <c r="H123" t="str">
        <f>VLOOKUP(B123,[1]Blad1!$A$1:$G$65536,3,FALSE)</f>
        <v>9</v>
      </c>
      <c r="J123" t="str">
        <f>VLOOKUP(B123,[1]Blad1!$A$1:$G$65536,5,FALSE)</f>
        <v>1033 RH</v>
      </c>
      <c r="K123" t="str">
        <f>VLOOKUP(B123,[1]Blad1!$A$1:$G$65536,6,FALSE)</f>
        <v>Amsterdam</v>
      </c>
      <c r="L123" t="str">
        <f>VLOOKUP(B123,[1]Blad1!$A$1:$G$65536,7,FALSE)</f>
        <v>NL</v>
      </c>
    </row>
    <row r="124" spans="1:21" x14ac:dyDescent="0.55000000000000004">
      <c r="B124" s="1" t="s">
        <v>140</v>
      </c>
      <c r="G124" t="str">
        <f>VLOOKUP(B124,[1]Blad1!$A$1:$G$65536,2,FALSE)</f>
        <v>Lubeckstraat</v>
      </c>
      <c r="H124" t="str">
        <f>VLOOKUP(B124,[1]Blad1!$A$1:$G$65536,3,FALSE)</f>
        <v>38</v>
      </c>
      <c r="J124" t="str">
        <f>VLOOKUP(B124,[1]Blad1!$A$1:$G$65536,5,FALSE)</f>
        <v>7575 EE</v>
      </c>
      <c r="K124" t="str">
        <f>VLOOKUP(B124,[1]Blad1!$A$1:$G$65536,6,FALSE)</f>
        <v>Oldenzaal</v>
      </c>
      <c r="L124" t="str">
        <f>VLOOKUP(B124,[1]Blad1!$A$1:$G$65536,7,FALSE)</f>
        <v>NL</v>
      </c>
    </row>
    <row r="125" spans="1:21" x14ac:dyDescent="0.55000000000000004">
      <c r="B125" s="1" t="s">
        <v>141</v>
      </c>
      <c r="G125" t="str">
        <f>VLOOKUP(B125,[1]Blad1!$A$1:$G$65536,2,FALSE)</f>
        <v>Willemskade</v>
      </c>
      <c r="H125" t="str">
        <f>VLOOKUP(B125,[1]Blad1!$A$1:$G$65536,3,FALSE)</f>
        <v>6</v>
      </c>
      <c r="J125" t="str">
        <f>VLOOKUP(B125,[1]Blad1!$A$1:$G$65536,5,FALSE)</f>
        <v>8531 DN</v>
      </c>
      <c r="K125" t="str">
        <f>VLOOKUP(B125,[1]Blad1!$A$1:$G$65536,6,FALSE)</f>
        <v>Lemmer</v>
      </c>
      <c r="L125" t="str">
        <f>VLOOKUP(B125,[1]Blad1!$A$1:$G$65536,7,FALSE)</f>
        <v>NL</v>
      </c>
    </row>
    <row r="126" spans="1:21" x14ac:dyDescent="0.55000000000000004">
      <c r="B126" s="1" t="s">
        <v>142</v>
      </c>
      <c r="G126" t="str">
        <f>VLOOKUP(B126,[1]Blad1!$A$1:$G$65536,2,FALSE)</f>
        <v>Dissel</v>
      </c>
      <c r="H126" t="str">
        <f>VLOOKUP(B126,[1]Blad1!$A$1:$G$65536,3,FALSE)</f>
        <v>2</v>
      </c>
      <c r="J126" t="str">
        <f>VLOOKUP(B126,[1]Blad1!$A$1:$G$65536,5,FALSE)</f>
        <v>1671 NG</v>
      </c>
      <c r="K126" t="str">
        <f>VLOOKUP(B126,[1]Blad1!$A$1:$G$65536,6,FALSE)</f>
        <v>Medemblik</v>
      </c>
      <c r="L126" t="str">
        <f>VLOOKUP(B126,[1]Blad1!$A$1:$G$65536,7,FALSE)</f>
        <v>NL</v>
      </c>
    </row>
    <row r="127" spans="1:21" x14ac:dyDescent="0.55000000000000004">
      <c r="B127" s="1" t="s">
        <v>143</v>
      </c>
      <c r="G127" t="str">
        <f>VLOOKUP(B127,[1]Blad1!$A$1:$G$65536,2,FALSE)</f>
        <v>Oostergoweg</v>
      </c>
      <c r="H127" t="str">
        <f>VLOOKUP(B127,[1]Blad1!$A$1:$G$65536,3,FALSE)</f>
        <v>2</v>
      </c>
      <c r="J127" t="str">
        <f>VLOOKUP(B127,[1]Blad1!$A$1:$G$65536,5,FALSE)</f>
        <v>9101 PL</v>
      </c>
      <c r="K127" t="str">
        <f>VLOOKUP(B127,[1]Blad1!$A$1:$G$65536,6,FALSE)</f>
        <v>Dokkum</v>
      </c>
      <c r="L127" t="str">
        <f>VLOOKUP(B127,[1]Blad1!$A$1:$G$65536,7,FALSE)</f>
        <v>NL</v>
      </c>
    </row>
    <row r="128" spans="1:21" x14ac:dyDescent="0.55000000000000004">
      <c r="B128" s="1" t="s">
        <v>144</v>
      </c>
      <c r="G128" t="str">
        <f>VLOOKUP(B128,[1]Blad1!$A$1:$G$65536,2,FALSE)</f>
        <v>Huifakkerstraat</v>
      </c>
      <c r="H128" t="str">
        <f>VLOOKUP(B128,[1]Blad1!$A$1:$G$65536,3,FALSE)</f>
        <v>20</v>
      </c>
      <c r="J128" t="str">
        <f>VLOOKUP(B128,[1]Blad1!$A$1:$G$65536,5,FALSE)</f>
        <v>4815 PN</v>
      </c>
      <c r="K128" t="str">
        <f>VLOOKUP(B128,[1]Blad1!$A$1:$G$65536,6,FALSE)</f>
        <v>Breda</v>
      </c>
      <c r="L128" t="str">
        <f>VLOOKUP(B128,[1]Blad1!$A$1:$G$65536,7,FALSE)</f>
        <v>NL</v>
      </c>
    </row>
    <row r="129" spans="1:21" x14ac:dyDescent="0.55000000000000004">
      <c r="B129" s="1" t="s">
        <v>145</v>
      </c>
      <c r="G129" t="str">
        <f>VLOOKUP(B129,[1]Blad1!$A$1:$G$65536,2,FALSE)</f>
        <v>Kerkhofweg</v>
      </c>
      <c r="H129" t="str">
        <f>VLOOKUP(B129,[1]Blad1!$A$1:$G$65536,3,FALSE)</f>
        <v>205</v>
      </c>
      <c r="J129" t="str">
        <f>VLOOKUP(B129,[1]Blad1!$A$1:$G$65536,5,FALSE)</f>
        <v>7586 AD</v>
      </c>
      <c r="K129" t="str">
        <f>VLOOKUP(B129,[1]Blad1!$A$1:$G$65536,6,FALSE)</f>
        <v>Overdinkel</v>
      </c>
      <c r="L129" t="str">
        <f>VLOOKUP(B129,[1]Blad1!$A$1:$G$65536,7,FALSE)</f>
        <v>NL</v>
      </c>
    </row>
    <row r="130" spans="1:21" s="49" customFormat="1" x14ac:dyDescent="0.55000000000000004">
      <c r="A130" s="1"/>
      <c r="B130" s="1" t="s">
        <v>145</v>
      </c>
      <c r="G130" s="65" t="s">
        <v>376</v>
      </c>
      <c r="H130" s="49">
        <v>2</v>
      </c>
      <c r="J130" s="66" t="s">
        <v>377</v>
      </c>
      <c r="K130" s="67" t="s">
        <v>290</v>
      </c>
      <c r="L130" s="20" t="s">
        <v>26</v>
      </c>
      <c r="U130" s="15"/>
    </row>
    <row r="131" spans="1:21" x14ac:dyDescent="0.55000000000000004">
      <c r="B131" s="1" t="s">
        <v>146</v>
      </c>
      <c r="G131" t="str">
        <f>VLOOKUP(B131,[1]Blad1!$A$1:$G$65536,2,FALSE)</f>
        <v>Volume</v>
      </c>
      <c r="H131" t="str">
        <f>VLOOKUP(B131,[1]Blad1!$A$1:$G$65536,3,FALSE)</f>
        <v>160-162</v>
      </c>
      <c r="J131" t="str">
        <f>VLOOKUP(B131,[1]Blad1!$A$1:$G$65536,5,FALSE)</f>
        <v>1446 WJ</v>
      </c>
      <c r="K131" t="str">
        <f>VLOOKUP(B131,[1]Blad1!$A$1:$G$65536,6,FALSE)</f>
        <v>Purmerend</v>
      </c>
      <c r="L131" t="str">
        <f>VLOOKUP(B131,[1]Blad1!$A$1:$G$65536,7,FALSE)</f>
        <v>NL</v>
      </c>
    </row>
    <row r="132" spans="1:21" x14ac:dyDescent="0.55000000000000004">
      <c r="B132" s="1" t="s">
        <v>147</v>
      </c>
      <c r="G132" t="str">
        <f>VLOOKUP(B132,[1]Blad1!$A$1:$G$65536,2,FALSE)</f>
        <v>Wolvenkoog</v>
      </c>
      <c r="H132" t="str">
        <f>VLOOKUP(B132,[1]Blad1!$A$1:$G$65536,3,FALSE)</f>
        <v>5</v>
      </c>
      <c r="J132" t="str">
        <f>VLOOKUP(B132,[1]Blad1!$A$1:$G$65536,5,FALSE)</f>
        <v>1822 BE</v>
      </c>
      <c r="K132" t="str">
        <f>VLOOKUP(B132,[1]Blad1!$A$1:$G$65536,6,FALSE)</f>
        <v>Alkmaar</v>
      </c>
      <c r="L132" t="str">
        <f>VLOOKUP(B132,[1]Blad1!$A$1:$G$65536,7,FALSE)</f>
        <v>NL</v>
      </c>
    </row>
    <row r="133" spans="1:21" x14ac:dyDescent="0.55000000000000004">
      <c r="B133" s="1" t="s">
        <v>148</v>
      </c>
      <c r="G133" t="str">
        <f>VLOOKUP(B133,[1]Blad1!$A$1:$G$65536,2,FALSE)</f>
        <v>Tramstraat</v>
      </c>
      <c r="H133" t="str">
        <f>VLOOKUP(B133,[1]Blad1!$A$1:$G$65536,3,FALSE)</f>
        <v>28</v>
      </c>
      <c r="J133" t="str">
        <f>VLOOKUP(B133,[1]Blad1!$A$1:$G$65536,5,FALSE)</f>
        <v>2225 CL</v>
      </c>
      <c r="K133" t="str">
        <f>VLOOKUP(B133,[1]Blad1!$A$1:$G$65536,6,FALSE)</f>
        <v>Katwijk ZH</v>
      </c>
      <c r="L133" t="str">
        <f>VLOOKUP(B133,[1]Blad1!$A$1:$G$65536,7,FALSE)</f>
        <v>NL</v>
      </c>
    </row>
    <row r="134" spans="1:21" x14ac:dyDescent="0.55000000000000004">
      <c r="B134" s="1" t="s">
        <v>149</v>
      </c>
      <c r="G134" t="str">
        <f>VLOOKUP(B134,[1]Blad1!$A$1:$G$65536,2,FALSE)</f>
        <v>Galileistraat</v>
      </c>
      <c r="H134" t="str">
        <f>VLOOKUP(B134,[1]Blad1!$A$1:$G$65536,3,FALSE)</f>
        <v>21</v>
      </c>
      <c r="J134" t="str">
        <f>VLOOKUP(B134,[1]Blad1!$A$1:$G$65536,5,FALSE)</f>
        <v>1704 SE</v>
      </c>
      <c r="K134" t="str">
        <f>VLOOKUP(B134,[1]Blad1!$A$1:$G$65536,6,FALSE)</f>
        <v>Heerhugowaard</v>
      </c>
      <c r="L134" t="str">
        <f>VLOOKUP(B134,[1]Blad1!$A$1:$G$65536,7,FALSE)</f>
        <v>NL</v>
      </c>
    </row>
    <row r="135" spans="1:21" x14ac:dyDescent="0.55000000000000004">
      <c r="B135" s="1" t="s">
        <v>150</v>
      </c>
      <c r="G135" t="str">
        <f>VLOOKUP(B135,[1]Blad1!$A$1:$G$65536,2,FALSE)</f>
        <v>Overweg</v>
      </c>
      <c r="H135" t="str">
        <f>VLOOKUP(B135,[1]Blad1!$A$1:$G$65536,3,FALSE)</f>
        <v>126</v>
      </c>
      <c r="J135" t="str">
        <f>VLOOKUP(B135,[1]Blad1!$A$1:$G$65536,5,FALSE)</f>
        <v>1191 RD</v>
      </c>
      <c r="K135" t="str">
        <f>VLOOKUP(B135,[1]Blad1!$A$1:$G$65536,6,FALSE)</f>
        <v>Ouderkerk aan de Amstel</v>
      </c>
      <c r="L135" t="str">
        <f>VLOOKUP(B135,[1]Blad1!$A$1:$G$65536,7,FALSE)</f>
        <v>NL</v>
      </c>
    </row>
    <row r="136" spans="1:21" x14ac:dyDescent="0.55000000000000004">
      <c r="B136" s="1" t="s">
        <v>151</v>
      </c>
      <c r="G136" t="str">
        <f>VLOOKUP(B136,[1]Blad1!$A$1:$G$65536,2,FALSE)</f>
        <v>Dokter de Vriesstraat</v>
      </c>
      <c r="H136" t="str">
        <f>VLOOKUP(B136,[1]Blad1!$A$1:$G$65536,3,FALSE)</f>
        <v>16</v>
      </c>
      <c r="J136" t="str">
        <f>VLOOKUP(B136,[1]Blad1!$A$1:$G$65536,5,FALSE)</f>
        <v>1654 JT</v>
      </c>
      <c r="K136" t="str">
        <f>VLOOKUP(B136,[1]Blad1!$A$1:$G$65536,6,FALSE)</f>
        <v>Benningbroek</v>
      </c>
      <c r="L136" t="str">
        <f>VLOOKUP(B136,[1]Blad1!$A$1:$G$65536,7,FALSE)</f>
        <v>NL</v>
      </c>
    </row>
    <row r="137" spans="1:21" x14ac:dyDescent="0.55000000000000004">
      <c r="B137" s="1" t="s">
        <v>152</v>
      </c>
      <c r="G137" t="str">
        <f>VLOOKUP(B137,[1]Blad1!$A$1:$G$65536,2,FALSE)</f>
        <v>Butaanstraat</v>
      </c>
      <c r="H137" t="str">
        <f>VLOOKUP(B137,[1]Blad1!$A$1:$G$65536,3,FALSE)</f>
        <v>12</v>
      </c>
      <c r="J137" t="str">
        <f>VLOOKUP(B137,[1]Blad1!$A$1:$G$65536,5,FALSE)</f>
        <v>7463 PG</v>
      </c>
      <c r="K137" t="str">
        <f>VLOOKUP(B137,[1]Blad1!$A$1:$G$65536,6,FALSE)</f>
        <v>Rijssen</v>
      </c>
      <c r="L137" t="str">
        <f>VLOOKUP(B137,[1]Blad1!$A$1:$G$65536,7,FALSE)</f>
        <v>NL</v>
      </c>
    </row>
    <row r="138" spans="1:21" s="49" customFormat="1" x14ac:dyDescent="0.55000000000000004">
      <c r="A138" s="1"/>
      <c r="B138" s="1" t="s">
        <v>152</v>
      </c>
      <c r="G138" s="68" t="s">
        <v>378</v>
      </c>
      <c r="H138" s="49">
        <v>6</v>
      </c>
      <c r="J138" s="69" t="s">
        <v>380</v>
      </c>
      <c r="K138" s="70" t="s">
        <v>379</v>
      </c>
      <c r="L138" s="20" t="s">
        <v>26</v>
      </c>
      <c r="U138" s="15"/>
    </row>
    <row r="139" spans="1:21" s="49" customFormat="1" x14ac:dyDescent="0.55000000000000004">
      <c r="A139" s="1"/>
      <c r="B139" s="1" t="s">
        <v>152</v>
      </c>
      <c r="G139" s="71" t="s">
        <v>381</v>
      </c>
      <c r="H139" s="49">
        <v>7</v>
      </c>
      <c r="J139" s="72" t="s">
        <v>383</v>
      </c>
      <c r="K139" s="70" t="s">
        <v>382</v>
      </c>
      <c r="L139" s="20" t="s">
        <v>26</v>
      </c>
      <c r="U139" s="15"/>
    </row>
    <row r="140" spans="1:21" s="49" customFormat="1" x14ac:dyDescent="0.55000000000000004">
      <c r="A140" s="1"/>
      <c r="B140" s="1" t="s">
        <v>152</v>
      </c>
      <c r="G140" s="73" t="s">
        <v>384</v>
      </c>
      <c r="H140" s="49">
        <v>31</v>
      </c>
      <c r="I140" s="49" t="s">
        <v>350</v>
      </c>
      <c r="J140" s="74" t="s">
        <v>385</v>
      </c>
      <c r="K140" s="75" t="s">
        <v>386</v>
      </c>
      <c r="L140" s="20" t="s">
        <v>26</v>
      </c>
      <c r="U140" s="15"/>
    </row>
    <row r="141" spans="1:21" s="49" customFormat="1" x14ac:dyDescent="0.55000000000000004">
      <c r="A141" s="1"/>
      <c r="B141" s="1" t="s">
        <v>152</v>
      </c>
      <c r="G141" s="76" t="s">
        <v>388</v>
      </c>
      <c r="H141" s="77" t="s">
        <v>387</v>
      </c>
      <c r="J141" s="78" t="s">
        <v>390</v>
      </c>
      <c r="K141" s="70" t="s">
        <v>389</v>
      </c>
      <c r="L141" s="20" t="s">
        <v>26</v>
      </c>
      <c r="U141" s="15"/>
    </row>
    <row r="142" spans="1:21" s="49" customFormat="1" x14ac:dyDescent="0.55000000000000004">
      <c r="A142" s="1"/>
      <c r="B142" s="1" t="s">
        <v>152</v>
      </c>
      <c r="G142" s="79" t="s">
        <v>391</v>
      </c>
      <c r="H142" s="49">
        <v>9</v>
      </c>
      <c r="I142" s="49" t="s">
        <v>350</v>
      </c>
      <c r="J142" s="80" t="s">
        <v>393</v>
      </c>
      <c r="K142" s="70" t="s">
        <v>392</v>
      </c>
      <c r="L142" s="20" t="s">
        <v>26</v>
      </c>
      <c r="U142" s="15"/>
    </row>
    <row r="143" spans="1:21" s="49" customFormat="1" x14ac:dyDescent="0.55000000000000004">
      <c r="A143" s="1"/>
      <c r="B143" s="1" t="s">
        <v>152</v>
      </c>
      <c r="G143" s="90" t="s">
        <v>402</v>
      </c>
      <c r="H143" s="49">
        <v>30</v>
      </c>
      <c r="J143" s="91" t="s">
        <v>403</v>
      </c>
      <c r="K143" s="92" t="s">
        <v>290</v>
      </c>
      <c r="L143" s="20" t="s">
        <v>26</v>
      </c>
      <c r="U143" s="15"/>
    </row>
    <row r="144" spans="1:21" s="49" customFormat="1" x14ac:dyDescent="0.55000000000000004">
      <c r="A144" s="1"/>
      <c r="B144" s="1" t="s">
        <v>152</v>
      </c>
      <c r="G144" s="81" t="s">
        <v>394</v>
      </c>
      <c r="H144" s="49">
        <v>3</v>
      </c>
      <c r="I144" s="49" t="s">
        <v>350</v>
      </c>
      <c r="J144" s="82">
        <v>1760</v>
      </c>
      <c r="K144" s="83" t="s">
        <v>395</v>
      </c>
      <c r="L144" s="20" t="s">
        <v>26</v>
      </c>
      <c r="U144" s="15"/>
    </row>
    <row r="145" spans="1:21" s="49" customFormat="1" x14ac:dyDescent="0.55000000000000004">
      <c r="A145" s="1"/>
      <c r="B145" s="1" t="s">
        <v>152</v>
      </c>
      <c r="G145" s="84" t="s">
        <v>396</v>
      </c>
      <c r="H145" s="49">
        <v>10</v>
      </c>
      <c r="J145" s="85" t="s">
        <v>398</v>
      </c>
      <c r="K145" s="86" t="s">
        <v>397</v>
      </c>
      <c r="L145" s="20" t="s">
        <v>26</v>
      </c>
      <c r="U145" s="15"/>
    </row>
    <row r="146" spans="1:21" s="49" customFormat="1" x14ac:dyDescent="0.55000000000000004">
      <c r="A146" s="1"/>
      <c r="B146" s="1" t="s">
        <v>152</v>
      </c>
      <c r="G146" s="87" t="s">
        <v>399</v>
      </c>
      <c r="H146" s="49">
        <v>44</v>
      </c>
      <c r="J146" s="88" t="s">
        <v>401</v>
      </c>
      <c r="K146" s="89" t="s">
        <v>400</v>
      </c>
      <c r="L146" s="20" t="s">
        <v>26</v>
      </c>
      <c r="U146" s="15"/>
    </row>
    <row r="147" spans="1:21" x14ac:dyDescent="0.55000000000000004">
      <c r="B147" s="1" t="s">
        <v>153</v>
      </c>
      <c r="G147" t="str">
        <f>VLOOKUP(B147,[1]Blad1!$A$1:$G$65536,2,FALSE)</f>
        <v>Handelsweg</v>
      </c>
      <c r="H147" t="str">
        <f>VLOOKUP(B147,[1]Blad1!$A$1:$G$65536,3,FALSE)</f>
        <v>1</v>
      </c>
      <c r="J147" t="str">
        <f>VLOOKUP(B147,[1]Blad1!$A$1:$G$65536,5,FALSE)</f>
        <v>7451 PJ</v>
      </c>
      <c r="K147" t="str">
        <f>VLOOKUP(B147,[1]Blad1!$A$1:$G$65536,6,FALSE)</f>
        <v>Holten</v>
      </c>
      <c r="L147" t="str">
        <f>VLOOKUP(B147,[1]Blad1!$A$1:$G$65536,7,FALSE)</f>
        <v>NL</v>
      </c>
    </row>
    <row r="148" spans="1:21" x14ac:dyDescent="0.55000000000000004">
      <c r="B148" s="1" t="s">
        <v>154</v>
      </c>
      <c r="G148" t="str">
        <f>VLOOKUP(B148,[1]Blad1!$A$1:$G$65536,2,FALSE)</f>
        <v>Kuipersdijk</v>
      </c>
      <c r="H148" t="str">
        <f>VLOOKUP(B148,[1]Blad1!$A$1:$G$65536,3,FALSE)</f>
        <v>50</v>
      </c>
      <c r="J148" t="str">
        <f>VLOOKUP(B148,[1]Blad1!$A$1:$G$65536,5,FALSE)</f>
        <v>7552 BJ</v>
      </c>
      <c r="K148" t="str">
        <f>VLOOKUP(B148,[1]Blad1!$A$1:$G$65536,6,FALSE)</f>
        <v>Hengelo OV</v>
      </c>
      <c r="L148" t="str">
        <f>VLOOKUP(B148,[1]Blad1!$A$1:$G$65536,7,FALSE)</f>
        <v>NL</v>
      </c>
    </row>
    <row r="149" spans="1:21" x14ac:dyDescent="0.55000000000000004">
      <c r="B149" s="1" t="s">
        <v>155</v>
      </c>
      <c r="G149" t="str">
        <f>VLOOKUP(B149,[1]Blad1!$A$1:$G$65536,2,FALSE)</f>
        <v>Almelosestraat</v>
      </c>
      <c r="H149" t="str">
        <f>VLOOKUP(B149,[1]Blad1!$A$1:$G$65536,3,FALSE)</f>
        <v>74</v>
      </c>
      <c r="J149" t="str">
        <f>VLOOKUP(B149,[1]Blad1!$A$1:$G$65536,5,FALSE)</f>
        <v>8102 HE</v>
      </c>
      <c r="K149" t="str">
        <f>VLOOKUP(B149,[1]Blad1!$A$1:$G$65536,6,FALSE)</f>
        <v>Raalte</v>
      </c>
      <c r="L149" t="str">
        <f>VLOOKUP(B149,[1]Blad1!$A$1:$G$65536,7,FALSE)</f>
        <v>NL</v>
      </c>
    </row>
    <row r="150" spans="1:21" x14ac:dyDescent="0.55000000000000004">
      <c r="B150" s="1" t="s">
        <v>156</v>
      </c>
      <c r="G150" t="str">
        <f>VLOOKUP(B150,[1]Blad1!$A$1:$G$65536,2,FALSE)</f>
        <v>Korte Lakenstraat</v>
      </c>
      <c r="H150" t="str">
        <f>VLOOKUP(B150,[1]Blad1!$A$1:$G$65536,3,FALSE)</f>
        <v>22</v>
      </c>
      <c r="J150" t="str">
        <f>VLOOKUP(B150,[1]Blad1!$A$1:$G$65536,5,FALSE)</f>
        <v>2011 ZD</v>
      </c>
      <c r="K150" t="str">
        <f>VLOOKUP(B150,[1]Blad1!$A$1:$G$65536,6,FALSE)</f>
        <v>Haarlem</v>
      </c>
      <c r="L150" t="str">
        <f>VLOOKUP(B150,[1]Blad1!$A$1:$G$65536,7,FALSE)</f>
        <v>NL</v>
      </c>
    </row>
    <row r="151" spans="1:21" x14ac:dyDescent="0.55000000000000004">
      <c r="B151" s="1" t="s">
        <v>157</v>
      </c>
      <c r="G151" t="str">
        <f>VLOOKUP(B151,[1]Blad1!$A$1:$G$65536,2,FALSE)</f>
        <v>Groenendal</v>
      </c>
      <c r="H151" t="str">
        <f>VLOOKUP(B151,[1]Blad1!$A$1:$G$65536,3,FALSE)</f>
        <v>17</v>
      </c>
      <c r="J151" t="str">
        <f>VLOOKUP(B151,[1]Blad1!$A$1:$G$65536,5,FALSE)</f>
        <v>5405 AS</v>
      </c>
      <c r="K151" t="str">
        <f>VLOOKUP(B151,[1]Blad1!$A$1:$G$65536,6,FALSE)</f>
        <v>Uden</v>
      </c>
      <c r="L151" t="str">
        <f>VLOOKUP(B151,[1]Blad1!$A$1:$G$65536,7,FALSE)</f>
        <v>NL</v>
      </c>
    </row>
    <row r="152" spans="1:21" x14ac:dyDescent="0.55000000000000004">
      <c r="B152" s="1" t="s">
        <v>158</v>
      </c>
      <c r="G152" t="str">
        <f>VLOOKUP(B152,[1]Blad1!$A$1:$G$65536,2,FALSE)</f>
        <v>Het Rif</v>
      </c>
      <c r="H152" t="str">
        <f>VLOOKUP(B152,[1]Blad1!$A$1:$G$65536,3,FALSE)</f>
        <v>25</v>
      </c>
      <c r="J152" t="str">
        <f>VLOOKUP(B152,[1]Blad1!$A$1:$G$65536,5,FALSE)</f>
        <v>2134 ZN</v>
      </c>
      <c r="K152" t="str">
        <f>VLOOKUP(B152,[1]Blad1!$A$1:$G$65536,6,FALSE)</f>
        <v>Hoofddorp</v>
      </c>
      <c r="L152" t="str">
        <f>VLOOKUP(B152,[1]Blad1!$A$1:$G$65536,7,FALSE)</f>
        <v>NL</v>
      </c>
    </row>
    <row r="153" spans="1:21" x14ac:dyDescent="0.55000000000000004">
      <c r="B153" s="1" t="s">
        <v>159</v>
      </c>
      <c r="G153" t="str">
        <f>VLOOKUP(B153,[1]Blad1!$A$1:$G$65536,2,FALSE)</f>
        <v>de Marowijne</v>
      </c>
      <c r="H153" t="str">
        <f>VLOOKUP(B153,[1]Blad1!$A$1:$G$65536,3,FALSE)</f>
        <v>29</v>
      </c>
      <c r="J153" t="str">
        <f>VLOOKUP(B153,[1]Blad1!$A$1:$G$65536,5,FALSE)</f>
        <v>1689 AR</v>
      </c>
      <c r="K153" t="str">
        <f>VLOOKUP(B153,[1]Blad1!$A$1:$G$65536,6,FALSE)</f>
        <v>ZWAAG</v>
      </c>
      <c r="L153" t="str">
        <f>VLOOKUP(B153,[1]Blad1!$A$1:$G$65536,7,FALSE)</f>
        <v>NL</v>
      </c>
    </row>
    <row r="154" spans="1:21" x14ac:dyDescent="0.55000000000000004">
      <c r="B154" s="1" t="s">
        <v>160</v>
      </c>
      <c r="G154" t="str">
        <f>VLOOKUP(B154,[1]Blad1!$A$1:$G$65536,2,FALSE)</f>
        <v>PAPLAND</v>
      </c>
      <c r="H154" t="str">
        <f>VLOOKUP(B154,[1]Blad1!$A$1:$G$65536,3,FALSE)</f>
        <v>19</v>
      </c>
      <c r="J154" t="str">
        <f>VLOOKUP(B154,[1]Blad1!$A$1:$G$65536,5,FALSE)</f>
        <v>4206 CK</v>
      </c>
      <c r="K154" t="str">
        <f>VLOOKUP(B154,[1]Blad1!$A$1:$G$65536,6,FALSE)</f>
        <v>Gorinchem</v>
      </c>
      <c r="L154" t="str">
        <f>VLOOKUP(B154,[1]Blad1!$A$1:$G$65536,7,FALSE)</f>
        <v>NL</v>
      </c>
    </row>
    <row r="155" spans="1:21" s="49" customFormat="1" x14ac:dyDescent="0.55000000000000004">
      <c r="A155" s="1"/>
      <c r="B155" s="1" t="s">
        <v>160</v>
      </c>
      <c r="G155" s="93" t="s">
        <v>404</v>
      </c>
      <c r="H155" s="49">
        <v>29</v>
      </c>
      <c r="J155" s="94" t="s">
        <v>406</v>
      </c>
      <c r="K155" s="95" t="s">
        <v>405</v>
      </c>
      <c r="L155" s="20" t="s">
        <v>26</v>
      </c>
      <c r="U155" s="15"/>
    </row>
    <row r="156" spans="1:21" x14ac:dyDescent="0.55000000000000004">
      <c r="B156" s="1" t="s">
        <v>161</v>
      </c>
      <c r="G156" t="str">
        <f>VLOOKUP(B156,[1]Blad1!$A$1:$G$65536,2,FALSE)</f>
        <v>Laan van Meedervoort</v>
      </c>
      <c r="H156" t="str">
        <f>VLOOKUP(B156,[1]Blad1!$A$1:$G$65536,3,FALSE)</f>
        <v>156</v>
      </c>
      <c r="I156" t="str">
        <f>VLOOKUP(B156,[1]Blad1!$A$1:$G$65536,4,FALSE)</f>
        <v>a</v>
      </c>
      <c r="J156" t="str">
        <f>VLOOKUP(B156,[1]Blad1!$A$1:$G$65536,5,FALSE)</f>
        <v>2517 BG</v>
      </c>
      <c r="K156" t="str">
        <f>VLOOKUP(B156,[1]Blad1!$A$1:$G$65536,6,FALSE)</f>
        <v>s-Gravenhage</v>
      </c>
      <c r="L156" t="str">
        <f>VLOOKUP(B156,[1]Blad1!$A$1:$G$65536,7,FALSE)</f>
        <v>NL</v>
      </c>
    </row>
    <row r="157" spans="1:21" x14ac:dyDescent="0.55000000000000004">
      <c r="B157" s="1" t="s">
        <v>162</v>
      </c>
      <c r="G157" t="str">
        <f>VLOOKUP(B157,[1]Blad1!$A$1:$G$65536,2,FALSE)</f>
        <v>Oudestraat</v>
      </c>
      <c r="H157" t="str">
        <f>VLOOKUP(B157,[1]Blad1!$A$1:$G$65536,3,FALSE)</f>
        <v>14</v>
      </c>
      <c r="J157" t="str">
        <f>VLOOKUP(B157,[1]Blad1!$A$1:$G$65536,5,FALSE)</f>
        <v>4311 AW</v>
      </c>
      <c r="K157" t="str">
        <f>VLOOKUP(B157,[1]Blad1!$A$1:$G$65536,6,FALSE)</f>
        <v>Bruinisse</v>
      </c>
      <c r="L157" t="str">
        <f>VLOOKUP(B157,[1]Blad1!$A$1:$G$65536,7,FALSE)</f>
        <v>NL</v>
      </c>
    </row>
    <row r="158" spans="1:21" x14ac:dyDescent="0.55000000000000004">
      <c r="B158" s="1" t="s">
        <v>163</v>
      </c>
      <c r="G158" t="str">
        <f>VLOOKUP(B158,[1]Blad1!$A$1:$G$65536,2,FALSE)</f>
        <v>KERKHOFLAAN</v>
      </c>
      <c r="H158" t="str">
        <f>VLOOKUP(B158,[1]Blad1!$A$1:$G$65536,3,FALSE)</f>
        <v>11</v>
      </c>
      <c r="J158" t="str">
        <f>VLOOKUP(B158,[1]Blad1!$A$1:$G$65536,5,FALSE)</f>
        <v>7251 JW</v>
      </c>
      <c r="K158" t="str">
        <f>VLOOKUP(B158,[1]Blad1!$A$1:$G$65536,6,FALSE)</f>
        <v>Vorden</v>
      </c>
      <c r="L158" t="str">
        <f>VLOOKUP(B158,[1]Blad1!$A$1:$G$65536,7,FALSE)</f>
        <v>NL</v>
      </c>
    </row>
    <row r="159" spans="1:21" x14ac:dyDescent="0.55000000000000004">
      <c r="B159" s="1" t="s">
        <v>164</v>
      </c>
      <c r="G159" s="268" t="s">
        <v>614</v>
      </c>
      <c r="H159">
        <v>21</v>
      </c>
      <c r="J159" s="269" t="s">
        <v>615</v>
      </c>
      <c r="K159" t="s">
        <v>616</v>
      </c>
      <c r="L159" t="str">
        <f>VLOOKUP(B159,[1]Blad1!$A$1:$G$65536,7,FALSE)</f>
        <v>NL</v>
      </c>
    </row>
    <row r="160" spans="1:21" x14ac:dyDescent="0.55000000000000004">
      <c r="B160" s="1" t="s">
        <v>165</v>
      </c>
      <c r="G160" t="str">
        <f>VLOOKUP(B160,[1]Blad1!$A$1:$G$65536,2,FALSE)</f>
        <v>Ambachtsstraat</v>
      </c>
      <c r="H160" t="str">
        <f>VLOOKUP(B160,[1]Blad1!$A$1:$G$65536,3,FALSE)</f>
        <v>36</v>
      </c>
      <c r="J160" t="str">
        <f>VLOOKUP(B160,[1]Blad1!$A$1:$G$65536,5,FALSE)</f>
        <v>8263 AK</v>
      </c>
      <c r="K160" t="str">
        <f>VLOOKUP(B160,[1]Blad1!$A$1:$G$65536,6,FALSE)</f>
        <v>Kampen</v>
      </c>
      <c r="L160" t="str">
        <f>VLOOKUP(B160,[1]Blad1!$A$1:$G$65536,7,FALSE)</f>
        <v>NL</v>
      </c>
    </row>
    <row r="161" spans="1:21" x14ac:dyDescent="0.55000000000000004">
      <c r="B161" s="1" t="s">
        <v>166</v>
      </c>
      <c r="G161" t="str">
        <f>VLOOKUP(B161,[1]Blad1!$A$1:$G$65536,2,FALSE)</f>
        <v>Vliegweg</v>
      </c>
      <c r="H161" t="str">
        <f>VLOOKUP(B161,[1]Blad1!$A$1:$G$65536,3,FALSE)</f>
        <v>1</v>
      </c>
      <c r="I161" t="str">
        <f>VLOOKUP(B161,[1]Blad1!$A$1:$G$65536,4,FALSE)</f>
        <v>A</v>
      </c>
      <c r="J161" t="str">
        <f>VLOOKUP(B161,[1]Blad1!$A$1:$G$65536,5,FALSE)</f>
        <v>1261 GK</v>
      </c>
      <c r="K161" t="str">
        <f>VLOOKUP(B161,[1]Blad1!$A$1:$G$65536,6,FALSE)</f>
        <v>Blaricum</v>
      </c>
      <c r="L161" t="str">
        <f>VLOOKUP(B161,[1]Blad1!$A$1:$G$65536,7,FALSE)</f>
        <v>NL</v>
      </c>
    </row>
    <row r="162" spans="1:21" s="49" customFormat="1" x14ac:dyDescent="0.55000000000000004">
      <c r="A162" s="1"/>
      <c r="B162" s="1" t="s">
        <v>166</v>
      </c>
      <c r="G162" s="96" t="s">
        <v>408</v>
      </c>
      <c r="H162" s="49">
        <v>33</v>
      </c>
      <c r="I162" s="49" t="s">
        <v>407</v>
      </c>
      <c r="J162" s="97" t="s">
        <v>410</v>
      </c>
      <c r="K162" s="98" t="s">
        <v>409</v>
      </c>
      <c r="L162" s="20" t="s">
        <v>26</v>
      </c>
      <c r="U162" s="15"/>
    </row>
    <row r="163" spans="1:21" x14ac:dyDescent="0.55000000000000004">
      <c r="B163" s="1" t="s">
        <v>167</v>
      </c>
      <c r="G163" t="str">
        <f>VLOOKUP(B163,[1]Blad1!$A$1:$G$65536,2,FALSE)</f>
        <v>Stephensonstraat</v>
      </c>
      <c r="H163" t="str">
        <f>VLOOKUP(B163,[1]Blad1!$A$1:$G$65536,3,FALSE)</f>
        <v>31</v>
      </c>
      <c r="J163" t="str">
        <f>VLOOKUP(B163,[1]Blad1!$A$1:$G$65536,5,FALSE)</f>
        <v>2014 KB</v>
      </c>
      <c r="K163" t="str">
        <f>VLOOKUP(B163,[1]Blad1!$A$1:$G$65536,6,FALSE)</f>
        <v>Haarlem</v>
      </c>
      <c r="L163" t="str">
        <f>VLOOKUP(B163,[1]Blad1!$A$1:$G$65536,7,FALSE)</f>
        <v>NL</v>
      </c>
    </row>
    <row r="164" spans="1:21" x14ac:dyDescent="0.55000000000000004">
      <c r="B164" s="1" t="s">
        <v>168</v>
      </c>
      <c r="G164" t="str">
        <f>VLOOKUP(B164,[1]Blad1!$A$1:$G$65536,2,FALSE)</f>
        <v>Knollenhaarweg</v>
      </c>
      <c r="H164" t="str">
        <f>VLOOKUP(B164,[1]Blad1!$A$1:$G$65536,3,FALSE)</f>
        <v>7</v>
      </c>
      <c r="J164" t="str">
        <f>VLOOKUP(B164,[1]Blad1!$A$1:$G$65536,5,FALSE)</f>
        <v>7447 PP</v>
      </c>
      <c r="K164" t="str">
        <f>VLOOKUP(B164,[1]Blad1!$A$1:$G$65536,6,FALSE)</f>
        <v>Hellendoorn</v>
      </c>
      <c r="L164" t="str">
        <f>VLOOKUP(B164,[1]Blad1!$A$1:$G$65536,7,FALSE)</f>
        <v>NL</v>
      </c>
    </row>
    <row r="165" spans="1:21" x14ac:dyDescent="0.55000000000000004">
      <c r="B165" s="1" t="s">
        <v>169</v>
      </c>
      <c r="G165" t="str">
        <f>VLOOKUP(B165,[1]Blad1!$A$1:$G$65536,2,FALSE)</f>
        <v>Overpelterbaan</v>
      </c>
      <c r="H165" t="str">
        <f>VLOOKUP(B165,[1]Blad1!$A$1:$G$65536,3,FALSE)</f>
        <v>52</v>
      </c>
      <c r="J165">
        <v>3941</v>
      </c>
      <c r="K165" t="s">
        <v>295</v>
      </c>
      <c r="L165" t="str">
        <f>VLOOKUP(B165,[1]Blad1!$A$1:$G$65536,7,FALSE)</f>
        <v>BE</v>
      </c>
    </row>
    <row r="166" spans="1:21" s="49" customFormat="1" x14ac:dyDescent="0.55000000000000004">
      <c r="A166" s="1"/>
      <c r="B166" s="1" t="s">
        <v>169</v>
      </c>
      <c r="G166" s="102" t="s">
        <v>414</v>
      </c>
      <c r="H166" s="49">
        <v>18</v>
      </c>
      <c r="J166" s="103" t="s">
        <v>416</v>
      </c>
      <c r="K166" s="104" t="s">
        <v>415</v>
      </c>
      <c r="L166" s="20" t="s">
        <v>26</v>
      </c>
      <c r="U166" s="15"/>
    </row>
    <row r="167" spans="1:21" s="49" customFormat="1" x14ac:dyDescent="0.55000000000000004">
      <c r="A167" s="1"/>
      <c r="B167" s="1" t="s">
        <v>169</v>
      </c>
      <c r="G167" s="99" t="s">
        <v>411</v>
      </c>
      <c r="H167" s="49">
        <v>11</v>
      </c>
      <c r="J167" s="100" t="s">
        <v>413</v>
      </c>
      <c r="K167" s="101" t="s">
        <v>412</v>
      </c>
      <c r="L167" s="20" t="s">
        <v>26</v>
      </c>
      <c r="U167" s="15"/>
    </row>
    <row r="168" spans="1:21" x14ac:dyDescent="0.55000000000000004">
      <c r="B168" s="1" t="s">
        <v>170</v>
      </c>
      <c r="G168" t="str">
        <f>VLOOKUP(B168,[1]Blad1!$A$1:$G$65536,2,FALSE)</f>
        <v>Schaarweide</v>
      </c>
      <c r="H168" t="str">
        <f>VLOOKUP(B168,[1]Blad1!$A$1:$G$65536,3,FALSE)</f>
        <v>112</v>
      </c>
      <c r="J168" t="str">
        <f>VLOOKUP(B168,[1]Blad1!$A$1:$G$65536,5,FALSE)</f>
        <v>3075 RE</v>
      </c>
      <c r="K168" t="str">
        <f>VLOOKUP(B168,[1]Blad1!$A$1:$G$65536,6,FALSE)</f>
        <v>Rotterdam</v>
      </c>
      <c r="L168" t="str">
        <f>VLOOKUP(B168,[1]Blad1!$A$1:$G$65536,7,FALSE)</f>
        <v>NL</v>
      </c>
    </row>
    <row r="169" spans="1:21" x14ac:dyDescent="0.55000000000000004">
      <c r="B169" s="1" t="s">
        <v>171</v>
      </c>
      <c r="G169" t="str">
        <f>VLOOKUP(B169,[1]Blad1!$A$1:$G$65536,2,FALSE)</f>
        <v>Boegstraat</v>
      </c>
      <c r="H169" t="str">
        <f>VLOOKUP(B169,[1]Blad1!$A$1:$G$65536,3,FALSE)</f>
        <v>29</v>
      </c>
      <c r="J169" t="str">
        <f>VLOOKUP(B169,[1]Blad1!$A$1:$G$65536,5,FALSE)</f>
        <v>2586 ET</v>
      </c>
      <c r="K169" t="str">
        <f>VLOOKUP(B169,[1]Blad1!$A$1:$G$65536,6,FALSE)</f>
        <v>s-Gravenhage</v>
      </c>
      <c r="L169" t="str">
        <f>VLOOKUP(B169,[1]Blad1!$A$1:$G$65536,7,FALSE)</f>
        <v>NL</v>
      </c>
    </row>
    <row r="170" spans="1:21" s="49" customFormat="1" x14ac:dyDescent="0.55000000000000004">
      <c r="A170" s="1"/>
      <c r="B170" s="1" t="s">
        <v>171</v>
      </c>
      <c r="G170" s="106" t="s">
        <v>417</v>
      </c>
      <c r="H170" s="107">
        <v>16</v>
      </c>
      <c r="J170" s="108" t="s">
        <v>419</v>
      </c>
      <c r="K170" s="109" t="s">
        <v>418</v>
      </c>
      <c r="L170" s="105" t="s">
        <v>26</v>
      </c>
      <c r="U170" s="15"/>
    </row>
    <row r="171" spans="1:21" x14ac:dyDescent="0.55000000000000004">
      <c r="B171" s="1" t="s">
        <v>172</v>
      </c>
      <c r="G171" t="str">
        <f>VLOOKUP(B171,[1]Blad1!$A$1:$G$65536,2,FALSE)</f>
        <v>Doornhoek</v>
      </c>
      <c r="H171" t="str">
        <f>VLOOKUP(B171,[1]Blad1!$A$1:$G$65536,3,FALSE)</f>
        <v>3930</v>
      </c>
      <c r="J171" t="str">
        <f>VLOOKUP(B171,[1]Blad1!$A$1:$G$65536,5,FALSE)</f>
        <v>5465 TC</v>
      </c>
      <c r="K171" t="str">
        <f>VLOOKUP(B171,[1]Blad1!$A$1:$G$65536,6,FALSE)</f>
        <v>Veghel</v>
      </c>
      <c r="L171" t="str">
        <f>VLOOKUP(B171,[1]Blad1!$A$1:$G$65536,7,FALSE)</f>
        <v>NL</v>
      </c>
    </row>
    <row r="172" spans="1:21" x14ac:dyDescent="0.55000000000000004">
      <c r="B172" s="1" t="s">
        <v>173</v>
      </c>
      <c r="G172" t="str">
        <f>VLOOKUP(B172,[1]Blad1!$A$1:$G$65536,2,FALSE)</f>
        <v>Anthonetta Kuijlstraat</v>
      </c>
      <c r="H172" t="str">
        <f>VLOOKUP(B172,[1]Blad1!$A$1:$G$65536,3,FALSE)</f>
        <v>36</v>
      </c>
      <c r="J172" t="str">
        <f>VLOOKUP(B172,[1]Blad1!$A$1:$G$65536,5,FALSE)</f>
        <v>3066 GS</v>
      </c>
      <c r="K172" t="str">
        <f>VLOOKUP(B172,[1]Blad1!$A$1:$G$65536,6,FALSE)</f>
        <v>Rotterdam</v>
      </c>
      <c r="L172" t="str">
        <f>VLOOKUP(B172,[1]Blad1!$A$1:$G$65536,7,FALSE)</f>
        <v>NL</v>
      </c>
    </row>
    <row r="173" spans="1:21" x14ac:dyDescent="0.55000000000000004">
      <c r="B173" s="1" t="s">
        <v>174</v>
      </c>
      <c r="G173" t="str">
        <f>VLOOKUP(B173,[1]Blad1!$A$1:$G$65536,2,FALSE)</f>
        <v>Schubertlaan</v>
      </c>
      <c r="H173" t="str">
        <f>VLOOKUP(B173,[1]Blad1!$A$1:$G$65536,3,FALSE)</f>
        <v>42</v>
      </c>
      <c r="J173" t="str">
        <f>VLOOKUP(B173,[1]Blad1!$A$1:$G$65536,5,FALSE)</f>
        <v>2151 GB</v>
      </c>
      <c r="K173" t="str">
        <f>VLOOKUP(B173,[1]Blad1!$A$1:$G$65536,6,FALSE)</f>
        <v>Nieuw Vennep</v>
      </c>
      <c r="L173" t="str">
        <f>VLOOKUP(B173,[1]Blad1!$A$1:$G$65536,7,FALSE)</f>
        <v>NL</v>
      </c>
    </row>
    <row r="174" spans="1:21" s="49" customFormat="1" x14ac:dyDescent="0.55000000000000004">
      <c r="A174" s="1"/>
      <c r="B174" s="1" t="s">
        <v>174</v>
      </c>
      <c r="G174" s="110" t="s">
        <v>420</v>
      </c>
      <c r="H174" s="49">
        <v>3</v>
      </c>
      <c r="J174" s="111" t="s">
        <v>421</v>
      </c>
      <c r="K174" s="112" t="s">
        <v>322</v>
      </c>
      <c r="L174" s="105" t="s">
        <v>26</v>
      </c>
      <c r="U174" s="15"/>
    </row>
    <row r="175" spans="1:21" x14ac:dyDescent="0.55000000000000004">
      <c r="B175" s="1" t="s">
        <v>175</v>
      </c>
      <c r="G175" t="str">
        <f>VLOOKUP(B175,[1]Blad1!$A$1:$G$65536,2,FALSE)</f>
        <v>Haarlemmerstraat</v>
      </c>
      <c r="H175" t="str">
        <f>VLOOKUP(B175,[1]Blad1!$A$1:$G$65536,3,FALSE)</f>
        <v>293</v>
      </c>
      <c r="J175" t="str">
        <f>VLOOKUP(B175,[1]Blad1!$A$1:$G$65536,5,FALSE)</f>
        <v>2312 DT</v>
      </c>
      <c r="K175" t="str">
        <f>VLOOKUP(B175,[1]Blad1!$A$1:$G$65536,6,FALSE)</f>
        <v>Leiden</v>
      </c>
      <c r="L175" t="str">
        <f>VLOOKUP(B175,[1]Blad1!$A$1:$G$65536,7,FALSE)</f>
        <v>NL</v>
      </c>
    </row>
    <row r="176" spans="1:21" x14ac:dyDescent="0.55000000000000004">
      <c r="B176" s="1" t="s">
        <v>176</v>
      </c>
      <c r="G176" t="str">
        <f>VLOOKUP(B176,[1]Blad1!$A$1:$G$65536,2,FALSE)</f>
        <v>Draadbaan</v>
      </c>
      <c r="H176" t="str">
        <f>VLOOKUP(B176,[1]Blad1!$A$1:$G$65536,3,FALSE)</f>
        <v>36/38</v>
      </c>
      <c r="J176" t="str">
        <f>VLOOKUP(B176,[1]Blad1!$A$1:$G$65536,5,FALSE)</f>
        <v>2352 AW</v>
      </c>
      <c r="K176" t="str">
        <f>VLOOKUP(B176,[1]Blad1!$A$1:$G$65536,6,FALSE)</f>
        <v>Leiderdorp</v>
      </c>
      <c r="L176" t="str">
        <f>VLOOKUP(B176,[1]Blad1!$A$1:$G$65536,7,FALSE)</f>
        <v>NL</v>
      </c>
    </row>
    <row r="177" spans="1:21" x14ac:dyDescent="0.55000000000000004">
      <c r="B177" s="1" t="s">
        <v>177</v>
      </c>
      <c r="G177" t="str">
        <f>VLOOKUP(B177,[1]Blad1!$A$1:$G$65536,2,FALSE)</f>
        <v>Saturnus</v>
      </c>
      <c r="H177" t="str">
        <f>VLOOKUP(B177,[1]Blad1!$A$1:$G$65536,3,FALSE)</f>
        <v>3</v>
      </c>
      <c r="J177" t="str">
        <f>VLOOKUP(B177,[1]Blad1!$A$1:$G$65536,5,FALSE)</f>
        <v>8448 CC</v>
      </c>
      <c r="K177" t="str">
        <f>VLOOKUP(B177,[1]Blad1!$A$1:$G$65536,6,FALSE)</f>
        <v>Heerenveen</v>
      </c>
      <c r="L177" t="str">
        <f>VLOOKUP(B177,[1]Blad1!$A$1:$G$65536,7,FALSE)</f>
        <v>NL</v>
      </c>
    </row>
    <row r="178" spans="1:21" x14ac:dyDescent="0.55000000000000004">
      <c r="B178" s="1" t="s">
        <v>178</v>
      </c>
      <c r="G178" t="str">
        <f>VLOOKUP(B178,[1]Blad1!$A$1:$G$65536,2,FALSE)</f>
        <v>VAN ZUIJLEN VAN NIEVELTLAAN</v>
      </c>
      <c r="H178" t="str">
        <f>VLOOKUP(B178,[1]Blad1!$A$1:$G$65536,3,FALSE)</f>
        <v>83</v>
      </c>
      <c r="J178" t="str">
        <f>VLOOKUP(B178,[1]Blad1!$A$1:$G$65536,5,FALSE)</f>
        <v>3771 AB</v>
      </c>
      <c r="K178" t="str">
        <f>VLOOKUP(B178,[1]Blad1!$A$1:$G$65536,6,FALSE)</f>
        <v>Barneveld</v>
      </c>
      <c r="L178" t="str">
        <f>VLOOKUP(B178,[1]Blad1!$A$1:$G$65536,7,FALSE)</f>
        <v>NL</v>
      </c>
    </row>
    <row r="179" spans="1:21" x14ac:dyDescent="0.55000000000000004">
      <c r="B179" s="1" t="s">
        <v>179</v>
      </c>
      <c r="G179" t="str">
        <f>VLOOKUP(B179,[1]Blad1!$A$1:$G$65536,2,FALSE)</f>
        <v>Westknollendam</v>
      </c>
      <c r="H179" t="str">
        <f>VLOOKUP(B179,[1]Blad1!$A$1:$G$65536,3,FALSE)</f>
        <v>121</v>
      </c>
      <c r="J179" t="str">
        <f>VLOOKUP(B179,[1]Blad1!$A$1:$G$65536,5,FALSE)</f>
        <v>1525 PT</v>
      </c>
      <c r="K179" t="str">
        <f>VLOOKUP(B179,[1]Blad1!$A$1:$G$65536,6,FALSE)</f>
        <v>Westknollendam</v>
      </c>
      <c r="L179" t="str">
        <f>VLOOKUP(B179,[1]Blad1!$A$1:$G$65536,7,FALSE)</f>
        <v>NL</v>
      </c>
    </row>
    <row r="180" spans="1:21" x14ac:dyDescent="0.55000000000000004">
      <c r="B180" s="1" t="s">
        <v>180</v>
      </c>
      <c r="G180" t="str">
        <f>VLOOKUP(B180,[1]Blad1!$A$1:$G$65536,2,FALSE)</f>
        <v>Waterstraat</v>
      </c>
      <c r="H180" t="str">
        <f>VLOOKUP(B180,[1]Blad1!$A$1:$G$65536,3,FALSE)</f>
        <v>7</v>
      </c>
      <c r="I180" t="str">
        <f>VLOOKUP(B180,[1]Blad1!$A$1:$G$65536,4,FALSE)</f>
        <v>F</v>
      </c>
      <c r="J180" t="str">
        <f>VLOOKUP(B180,[1]Blad1!$A$1:$G$65536,5,FALSE)</f>
        <v>6658 AA</v>
      </c>
      <c r="K180" t="str">
        <f>VLOOKUP(B180,[1]Blad1!$A$1:$G$65536,6,FALSE)</f>
        <v>Beneden Leeuwen</v>
      </c>
      <c r="L180" t="str">
        <f>VLOOKUP(B180,[1]Blad1!$A$1:$G$65536,7,FALSE)</f>
        <v>NL</v>
      </c>
    </row>
    <row r="181" spans="1:21" x14ac:dyDescent="0.55000000000000004">
      <c r="B181" s="1" t="s">
        <v>181</v>
      </c>
      <c r="G181" t="str">
        <f>VLOOKUP(B181,[1]Blad1!$A$1:$G$65536,2,FALSE)</f>
        <v>Carbonstraat</v>
      </c>
      <c r="H181" t="str">
        <f>VLOOKUP(B181,[1]Blad1!$A$1:$G$65536,3,FALSE)</f>
        <v>5</v>
      </c>
      <c r="J181" t="str">
        <f>VLOOKUP(B181,[1]Blad1!$A$1:$G$65536,5,FALSE)</f>
        <v>8472 EA</v>
      </c>
      <c r="K181" t="str">
        <f>VLOOKUP(B181,[1]Blad1!$A$1:$G$65536,6,FALSE)</f>
        <v>Wolvega</v>
      </c>
      <c r="L181" t="str">
        <f>VLOOKUP(B181,[1]Blad1!$A$1:$G$65536,7,FALSE)</f>
        <v>NL</v>
      </c>
    </row>
    <row r="182" spans="1:21" s="49" customFormat="1" x14ac:dyDescent="0.55000000000000004">
      <c r="A182" s="1"/>
      <c r="B182" s="1" t="s">
        <v>181</v>
      </c>
      <c r="G182" s="113" t="s">
        <v>422</v>
      </c>
      <c r="H182" s="49">
        <v>8</v>
      </c>
      <c r="J182" s="114" t="s">
        <v>424</v>
      </c>
      <c r="K182" s="115" t="s">
        <v>423</v>
      </c>
      <c r="L182" s="105" t="s">
        <v>26</v>
      </c>
      <c r="U182" s="15"/>
    </row>
    <row r="183" spans="1:21" x14ac:dyDescent="0.55000000000000004">
      <c r="B183" s="1" t="s">
        <v>182</v>
      </c>
      <c r="G183" t="str">
        <f>VLOOKUP(B183,[1]Blad1!$A$1:$G$65536,2,FALSE)</f>
        <v>Leuvenstraat</v>
      </c>
      <c r="H183" t="str">
        <f>VLOOKUP(B183,[1]Blad1!$A$1:$G$65536,3,FALSE)</f>
        <v>18</v>
      </c>
      <c r="J183" t="str">
        <f>VLOOKUP(B183,[1]Blad1!$A$1:$G$65536,5,FALSE)</f>
        <v>4307 CA</v>
      </c>
      <c r="K183" t="str">
        <f>VLOOKUP(B183,[1]Blad1!$A$1:$G$65536,6,FALSE)</f>
        <v>Oosterland</v>
      </c>
      <c r="L183" t="str">
        <f>VLOOKUP(B183,[1]Blad1!$A$1:$G$65536,7,FALSE)</f>
        <v>NL</v>
      </c>
    </row>
    <row r="184" spans="1:21" s="49" customFormat="1" x14ac:dyDescent="0.55000000000000004">
      <c r="A184" s="1"/>
      <c r="B184" s="1" t="s">
        <v>182</v>
      </c>
      <c r="G184" s="116" t="s">
        <v>426</v>
      </c>
      <c r="H184" s="117" t="s">
        <v>425</v>
      </c>
      <c r="J184" s="118" t="s">
        <v>428</v>
      </c>
      <c r="K184" s="119" t="s">
        <v>427</v>
      </c>
      <c r="L184" s="105" t="s">
        <v>26</v>
      </c>
      <c r="U184" s="15"/>
    </row>
    <row r="185" spans="1:21" x14ac:dyDescent="0.55000000000000004">
      <c r="B185" s="1" t="s">
        <v>183</v>
      </c>
      <c r="G185" t="str">
        <f>VLOOKUP(B185,[1]Blad1!$A$1:$G$65536,2,FALSE)</f>
        <v>VLIETSKADE</v>
      </c>
      <c r="H185" t="str">
        <f>VLOOKUP(B185,[1]Blad1!$A$1:$G$65536,3,FALSE)</f>
        <v>6004</v>
      </c>
      <c r="J185" t="str">
        <f>VLOOKUP(B185,[1]Blad1!$A$1:$G$65536,5,FALSE)</f>
        <v>4241 WP</v>
      </c>
      <c r="K185" t="str">
        <f>VLOOKUP(B185,[1]Blad1!$A$1:$G$65536,6,FALSE)</f>
        <v>Arkel</v>
      </c>
      <c r="L185" t="str">
        <f>VLOOKUP(B185,[1]Blad1!$A$1:$G$65536,7,FALSE)</f>
        <v>NL</v>
      </c>
    </row>
    <row r="186" spans="1:21" x14ac:dyDescent="0.55000000000000004">
      <c r="B186" s="1" t="s">
        <v>184</v>
      </c>
      <c r="G186" t="str">
        <f>VLOOKUP(B186,[1]Blad1!$A$1:$G$65536,2,FALSE)</f>
        <v>Bellamystraat</v>
      </c>
      <c r="H186">
        <v>89</v>
      </c>
      <c r="I186" t="str">
        <f>VLOOKUP(B186,[1]Blad1!$A$1:$G$65536,4,FALSE)</f>
        <v>A</v>
      </c>
      <c r="J186" t="str">
        <f>VLOOKUP(B186,[1]Blad1!$A$1:$G$65536,5,FALSE)</f>
        <v>1053 BJ</v>
      </c>
      <c r="K186" t="str">
        <f>VLOOKUP(B186,[1]Blad1!$A$1:$G$65536,6,FALSE)</f>
        <v>Amsterdam</v>
      </c>
      <c r="L186" t="str">
        <f>VLOOKUP(B186,[1]Blad1!$A$1:$G$65536,7,FALSE)</f>
        <v>NL</v>
      </c>
    </row>
    <row r="187" spans="1:21" s="49" customFormat="1" x14ac:dyDescent="0.55000000000000004">
      <c r="A187" s="1"/>
      <c r="B187" s="1" t="s">
        <v>184</v>
      </c>
      <c r="G187" s="120" t="s">
        <v>429</v>
      </c>
      <c r="H187" s="49">
        <v>45</v>
      </c>
      <c r="J187" s="121" t="s">
        <v>430</v>
      </c>
      <c r="K187" s="122" t="s">
        <v>412</v>
      </c>
      <c r="L187" s="105" t="s">
        <v>26</v>
      </c>
      <c r="U187" s="15"/>
    </row>
    <row r="188" spans="1:21" s="49" customFormat="1" x14ac:dyDescent="0.55000000000000004">
      <c r="A188" s="1"/>
      <c r="B188" s="1" t="s">
        <v>184</v>
      </c>
      <c r="G188" s="123" t="s">
        <v>431</v>
      </c>
      <c r="H188" s="49">
        <v>118</v>
      </c>
      <c r="J188" s="124" t="s">
        <v>432</v>
      </c>
      <c r="K188" s="125" t="s">
        <v>412</v>
      </c>
      <c r="L188" s="105" t="s">
        <v>26</v>
      </c>
      <c r="U188" s="15"/>
    </row>
    <row r="189" spans="1:21" x14ac:dyDescent="0.55000000000000004">
      <c r="B189" s="1" t="s">
        <v>185</v>
      </c>
      <c r="G189" t="str">
        <f>VLOOKUP(B189,[1]Blad1!$A$1:$G$65536,2,FALSE)</f>
        <v>Berkelse Poort</v>
      </c>
      <c r="H189" t="str">
        <f>VLOOKUP(B189,[1]Blad1!$A$1:$G$65536,3,FALSE)</f>
        <v>65</v>
      </c>
      <c r="J189" t="str">
        <f>VLOOKUP(B189,[1]Blad1!$A$1:$G$65536,5,FALSE)</f>
        <v>2651 JX</v>
      </c>
      <c r="K189" t="str">
        <f>VLOOKUP(B189,[1]Blad1!$A$1:$G$65536,6,FALSE)</f>
        <v>Berkel en Rodenrijs</v>
      </c>
      <c r="L189" t="str">
        <f>VLOOKUP(B189,[1]Blad1!$A$1:$G$65536,7,FALSE)</f>
        <v>NL</v>
      </c>
    </row>
    <row r="190" spans="1:21" x14ac:dyDescent="0.55000000000000004">
      <c r="B190" s="1" t="s">
        <v>186</v>
      </c>
      <c r="G190" t="str">
        <f>VLOOKUP(B190,[1]Blad1!$A$1:$G$65536,2,FALSE)</f>
        <v>Koningsweg in Ambachtshal</v>
      </c>
      <c r="K190" t="s">
        <v>296</v>
      </c>
      <c r="L190" t="str">
        <f>VLOOKUP(B190,[1]Blad1!$A$1:$G$65536,7,FALSE)</f>
        <v>NL</v>
      </c>
    </row>
    <row r="191" spans="1:21" x14ac:dyDescent="0.55000000000000004">
      <c r="B191" s="1" t="s">
        <v>187</v>
      </c>
      <c r="G191" t="str">
        <f>VLOOKUP(B191,[1]Blad1!$A$1:$G$65536,2,FALSE)</f>
        <v>Patrijsstraat</v>
      </c>
      <c r="H191" t="str">
        <f>VLOOKUP(B191,[1]Blad1!$A$1:$G$65536,3,FALSE)</f>
        <v>23</v>
      </c>
      <c r="J191" t="str">
        <f>VLOOKUP(B191,[1]Blad1!$A$1:$G$65536,5,FALSE)</f>
        <v>6658 GB</v>
      </c>
      <c r="K191" t="str">
        <f>VLOOKUP(B191,[1]Blad1!$A$1:$G$65536,6,FALSE)</f>
        <v>Beneden Leeuwen</v>
      </c>
      <c r="L191" t="str">
        <f>VLOOKUP(B191,[1]Blad1!$A$1:$G$65536,7,FALSE)</f>
        <v>NL</v>
      </c>
    </row>
    <row r="192" spans="1:21" s="49" customFormat="1" x14ac:dyDescent="0.55000000000000004">
      <c r="A192" s="1"/>
      <c r="B192" s="1" t="s">
        <v>187</v>
      </c>
      <c r="G192" s="126" t="s">
        <v>434</v>
      </c>
      <c r="H192" s="49">
        <v>47</v>
      </c>
      <c r="I192" s="49" t="s">
        <v>433</v>
      </c>
      <c r="J192" s="127" t="s">
        <v>435</v>
      </c>
      <c r="K192" s="49" t="s">
        <v>436</v>
      </c>
      <c r="L192" s="49" t="s">
        <v>26</v>
      </c>
      <c r="U192" s="15"/>
    </row>
    <row r="193" spans="1:21" x14ac:dyDescent="0.55000000000000004">
      <c r="B193" s="1" t="s">
        <v>188</v>
      </c>
      <c r="G193" t="str">
        <f>VLOOKUP(B193,[1]Blad1!$A$1:$G$65536,2,FALSE)</f>
        <v>Fabrieksweg</v>
      </c>
      <c r="H193" t="str">
        <f>VLOOKUP(B193,[1]Blad1!$A$1:$G$65536,3,FALSE)</f>
        <v>17</v>
      </c>
      <c r="J193" t="str">
        <f>VLOOKUP(B193,[1]Blad1!$A$1:$G$65536,5,FALSE)</f>
        <v>5683 PN</v>
      </c>
      <c r="K193" t="str">
        <f>VLOOKUP(B193,[1]Blad1!$A$1:$G$65536,6,FALSE)</f>
        <v>Best</v>
      </c>
      <c r="L193" t="str">
        <f>VLOOKUP(B193,[1]Blad1!$A$1:$G$65536,7,FALSE)</f>
        <v>NL</v>
      </c>
    </row>
    <row r="194" spans="1:21" x14ac:dyDescent="0.55000000000000004">
      <c r="B194" s="1" t="s">
        <v>189</v>
      </c>
      <c r="G194" t="str">
        <f>VLOOKUP(B194,[1]Blad1!$A$1:$G$65536,2,FALSE)</f>
        <v>Frijdastraat</v>
      </c>
      <c r="H194" t="str">
        <f>VLOOKUP(B194,[1]Blad1!$A$1:$G$65536,3,FALSE)</f>
        <v>24</v>
      </c>
      <c r="J194" t="str">
        <f>VLOOKUP(B194,[1]Blad1!$A$1:$G$65536,5,FALSE)</f>
        <v>2288 EZ</v>
      </c>
      <c r="K194" t="str">
        <f>VLOOKUP(B194,[1]Blad1!$A$1:$G$65536,6,FALSE)</f>
        <v>Rijswijk ZH</v>
      </c>
      <c r="L194" t="str">
        <f>VLOOKUP(B194,[1]Blad1!$A$1:$G$65536,7,FALSE)</f>
        <v>NL</v>
      </c>
    </row>
    <row r="195" spans="1:21" x14ac:dyDescent="0.55000000000000004">
      <c r="B195" s="1" t="s">
        <v>190</v>
      </c>
      <c r="G195" t="str">
        <f>VLOOKUP(B195,[1]Blad1!$A$1:$G$65536,2,FALSE)</f>
        <v>Beeklaan</v>
      </c>
      <c r="H195" t="str">
        <f>VLOOKUP(B195,[1]Blad1!$A$1:$G$65536,3,FALSE)</f>
        <v>102</v>
      </c>
      <c r="I195" t="str">
        <f>VLOOKUP(B195,[1]Blad1!$A$1:$G$65536,4,FALSE)</f>
        <v>B</v>
      </c>
      <c r="J195" t="str">
        <f>VLOOKUP(B195,[1]Blad1!$A$1:$G$65536,5,FALSE)</f>
        <v>2182 NH</v>
      </c>
      <c r="K195" t="str">
        <f>VLOOKUP(B195,[1]Blad1!$A$1:$G$65536,6,FALSE)</f>
        <v>Hillegom</v>
      </c>
      <c r="L195" t="str">
        <f>VLOOKUP(B195,[1]Blad1!$A$1:$G$65536,7,FALSE)</f>
        <v>NL</v>
      </c>
    </row>
    <row r="196" spans="1:21" s="49" customFormat="1" x14ac:dyDescent="0.55000000000000004">
      <c r="A196" s="1"/>
      <c r="B196" s="1" t="s">
        <v>190</v>
      </c>
      <c r="G196" s="128" t="s">
        <v>399</v>
      </c>
      <c r="H196" s="49">
        <v>44</v>
      </c>
      <c r="J196" s="129" t="s">
        <v>401</v>
      </c>
      <c r="K196" s="49" t="s">
        <v>400</v>
      </c>
      <c r="L196" s="49" t="s">
        <v>26</v>
      </c>
      <c r="U196" s="15"/>
    </row>
    <row r="197" spans="1:21" x14ac:dyDescent="0.55000000000000004">
      <c r="B197" s="1" t="s">
        <v>191</v>
      </c>
      <c r="G197" t="str">
        <f>VLOOKUP(B197,[1]Blad1!$A$1:$G$65536,2,FALSE)</f>
        <v>Koele mei</v>
      </c>
      <c r="H197" t="str">
        <f>VLOOKUP(B197,[1]Blad1!$A$1:$G$65536,3,FALSE)</f>
        <v>22</v>
      </c>
      <c r="J197" t="str">
        <f>VLOOKUP(B197,[1]Blad1!$A$1:$G$65536,5,FALSE)</f>
        <v>4816 JD</v>
      </c>
      <c r="K197" t="str">
        <f>VLOOKUP(B197,[1]Blad1!$A$1:$G$65536,6,FALSE)</f>
        <v>Breda</v>
      </c>
      <c r="L197" t="str">
        <f>VLOOKUP(B197,[1]Blad1!$A$1:$G$65536,7,FALSE)</f>
        <v>NL</v>
      </c>
    </row>
    <row r="198" spans="1:21" x14ac:dyDescent="0.55000000000000004">
      <c r="B198" s="1" t="s">
        <v>192</v>
      </c>
      <c r="G198" t="str">
        <f>VLOOKUP(B198,[1]Blad1!$A$1:$G$65536,2,FALSE)</f>
        <v>DE AMERT</v>
      </c>
      <c r="H198" t="str">
        <f>VLOOKUP(B198,[1]Blad1!$A$1:$G$65536,3,FALSE)</f>
        <v>417</v>
      </c>
      <c r="J198" t="str">
        <f>VLOOKUP(B198,[1]Blad1!$A$1:$G$65536,5,FALSE)</f>
        <v>5462 GH</v>
      </c>
      <c r="K198" t="str">
        <f>VLOOKUP(B198,[1]Blad1!$A$1:$G$65536,6,FALSE)</f>
        <v>VEGHEL</v>
      </c>
      <c r="L198" t="str">
        <f>VLOOKUP(B198,[1]Blad1!$A$1:$G$65536,7,FALSE)</f>
        <v>NL</v>
      </c>
    </row>
    <row r="199" spans="1:21" x14ac:dyDescent="0.55000000000000004">
      <c r="B199" s="1" t="s">
        <v>193</v>
      </c>
      <c r="G199" t="str">
        <f>VLOOKUP(B199,[1]Blad1!$A$1:$G$65536,2,FALSE)</f>
        <v>Albinow</v>
      </c>
      <c r="H199" t="str">
        <f>VLOOKUP(B199,[1]Blad1!$A$1:$G$65536,3,FALSE)</f>
        <v>23</v>
      </c>
      <c r="J199" t="s">
        <v>298</v>
      </c>
      <c r="K199" t="s">
        <v>297</v>
      </c>
      <c r="L199" t="str">
        <f>VLOOKUP(B199,[1]Blad1!$A$1:$G$65536,7,FALSE)</f>
        <v>PL</v>
      </c>
    </row>
    <row r="200" spans="1:21" x14ac:dyDescent="0.55000000000000004">
      <c r="B200" s="1" t="s">
        <v>194</v>
      </c>
      <c r="G200" t="str">
        <f>VLOOKUP(B200,[1]Blad1!$A$1:$G$65536,2,FALSE)</f>
        <v>Hullerpad</v>
      </c>
      <c r="H200" t="str">
        <f>VLOOKUP(B200,[1]Blad1!$A$1:$G$65536,3,FALSE)</f>
        <v>34</v>
      </c>
      <c r="J200" t="str">
        <f>VLOOKUP(B200,[1]Blad1!$A$1:$G$65536,5,FALSE)</f>
        <v>6741 PA</v>
      </c>
      <c r="K200" t="str">
        <f>VLOOKUP(B200,[1]Blad1!$A$1:$G$65536,6,FALSE)</f>
        <v>LUNTEREN</v>
      </c>
      <c r="L200" t="str">
        <f>VLOOKUP(B200,[1]Blad1!$A$1:$G$65536,7,FALSE)</f>
        <v>NL</v>
      </c>
    </row>
    <row r="201" spans="1:21" s="49" customFormat="1" x14ac:dyDescent="0.55000000000000004">
      <c r="A201" s="1"/>
      <c r="B201" s="1" t="s">
        <v>194</v>
      </c>
      <c r="G201" s="130" t="s">
        <v>438</v>
      </c>
      <c r="H201" s="49" t="s">
        <v>437</v>
      </c>
      <c r="J201" s="131" t="s">
        <v>439</v>
      </c>
      <c r="K201" s="49" t="s">
        <v>440</v>
      </c>
      <c r="L201" s="49" t="s">
        <v>26</v>
      </c>
      <c r="U201" s="15"/>
    </row>
    <row r="202" spans="1:21" x14ac:dyDescent="0.55000000000000004">
      <c r="B202" s="1" t="s">
        <v>195</v>
      </c>
      <c r="G202" t="str">
        <f>VLOOKUP(B202,[1]Blad1!$A$1:$G$65536,2,FALSE)</f>
        <v>Penningweg</v>
      </c>
      <c r="H202" t="str">
        <f>VLOOKUP(B202,[1]Blad1!$A$1:$G$65536,3,FALSE)</f>
        <v>6</v>
      </c>
      <c r="J202" t="str">
        <f>VLOOKUP(B202,[1]Blad1!$A$1:$G$65536,5,FALSE)</f>
        <v>4879 AG</v>
      </c>
      <c r="K202" t="str">
        <f>VLOOKUP(B202,[1]Blad1!$A$1:$G$65536,6,FALSE)</f>
        <v>Etten-Leur</v>
      </c>
      <c r="L202" t="str">
        <f>VLOOKUP(B202,[1]Blad1!$A$1:$G$65536,7,FALSE)</f>
        <v>NL</v>
      </c>
    </row>
    <row r="203" spans="1:21" s="49" customFormat="1" x14ac:dyDescent="0.55000000000000004">
      <c r="A203" s="1"/>
      <c r="B203" s="1" t="s">
        <v>195</v>
      </c>
      <c r="G203" s="132" t="s">
        <v>441</v>
      </c>
      <c r="H203" s="49">
        <v>4</v>
      </c>
      <c r="J203" s="133" t="s">
        <v>442</v>
      </c>
      <c r="K203" s="49" t="s">
        <v>443</v>
      </c>
      <c r="L203" s="49" t="s">
        <v>26</v>
      </c>
      <c r="U203" s="15"/>
    </row>
    <row r="204" spans="1:21" x14ac:dyDescent="0.55000000000000004">
      <c r="B204" s="1" t="s">
        <v>196</v>
      </c>
      <c r="G204" t="str">
        <f>VLOOKUP(B204,[1]Blad1!$A$1:$G$65536,2,FALSE)</f>
        <v>Am Anger</v>
      </c>
      <c r="H204" t="str">
        <f>VLOOKUP(B204,[1]Blad1!$A$1:$G$65536,3,FALSE)</f>
        <v>9</v>
      </c>
      <c r="J204">
        <v>92353</v>
      </c>
      <c r="K204" t="s">
        <v>299</v>
      </c>
      <c r="L204" t="str">
        <f>VLOOKUP(B204,[1]Blad1!$A$1:$G$65536,7,FALSE)</f>
        <v>DE</v>
      </c>
    </row>
    <row r="205" spans="1:21" s="49" customFormat="1" x14ac:dyDescent="0.55000000000000004">
      <c r="A205" s="1"/>
      <c r="B205" s="1" t="s">
        <v>196</v>
      </c>
      <c r="G205" s="134" t="s">
        <v>444</v>
      </c>
      <c r="H205" s="49">
        <v>2</v>
      </c>
      <c r="J205" s="135">
        <v>51515</v>
      </c>
      <c r="K205" s="49" t="s">
        <v>445</v>
      </c>
      <c r="L205" s="49" t="s">
        <v>446</v>
      </c>
      <c r="U205" s="15"/>
    </row>
    <row r="206" spans="1:21" s="49" customFormat="1" x14ac:dyDescent="0.55000000000000004">
      <c r="A206" s="1"/>
      <c r="B206" s="1" t="s">
        <v>196</v>
      </c>
      <c r="G206" s="136" t="s">
        <v>447</v>
      </c>
      <c r="H206" s="49">
        <v>10</v>
      </c>
      <c r="J206" s="137">
        <v>26789</v>
      </c>
      <c r="K206" s="49" t="s">
        <v>448</v>
      </c>
      <c r="L206" s="49" t="s">
        <v>446</v>
      </c>
      <c r="U206" s="15"/>
    </row>
    <row r="207" spans="1:21" s="49" customFormat="1" x14ac:dyDescent="0.55000000000000004">
      <c r="A207" s="1"/>
      <c r="B207" s="1" t="s">
        <v>196</v>
      </c>
      <c r="G207" s="138" t="s">
        <v>449</v>
      </c>
      <c r="H207" s="49">
        <v>52</v>
      </c>
      <c r="I207" s="49" t="s">
        <v>433</v>
      </c>
      <c r="J207" s="139">
        <v>76877</v>
      </c>
      <c r="K207" s="49" t="s">
        <v>450</v>
      </c>
      <c r="L207" s="49" t="s">
        <v>446</v>
      </c>
      <c r="U207" s="15"/>
    </row>
    <row r="208" spans="1:21" s="49" customFormat="1" x14ac:dyDescent="0.55000000000000004">
      <c r="A208" s="1"/>
      <c r="B208" s="1" t="s">
        <v>196</v>
      </c>
      <c r="G208" s="140" t="s">
        <v>451</v>
      </c>
      <c r="H208" s="49">
        <v>8</v>
      </c>
      <c r="J208" s="141">
        <v>35037</v>
      </c>
      <c r="K208" s="49" t="s">
        <v>452</v>
      </c>
      <c r="L208" s="49" t="s">
        <v>446</v>
      </c>
      <c r="U208" s="15"/>
    </row>
    <row r="209" spans="1:21" s="49" customFormat="1" x14ac:dyDescent="0.55000000000000004">
      <c r="A209" s="1"/>
      <c r="B209" s="1" t="s">
        <v>196</v>
      </c>
      <c r="G209" s="142" t="s">
        <v>453</v>
      </c>
      <c r="H209" s="49">
        <v>12</v>
      </c>
      <c r="J209" s="143">
        <v>31180</v>
      </c>
      <c r="K209" s="49" t="s">
        <v>454</v>
      </c>
      <c r="L209" s="49" t="s">
        <v>446</v>
      </c>
      <c r="U209" s="15"/>
    </row>
    <row r="210" spans="1:21" x14ac:dyDescent="0.55000000000000004">
      <c r="B210" s="1" t="s">
        <v>197</v>
      </c>
      <c r="G210" t="s">
        <v>300</v>
      </c>
      <c r="H210" t="str">
        <f>VLOOKUP(B210,[1]Blad1!$A$1:$G$65536,3,FALSE)</f>
        <v>21</v>
      </c>
      <c r="J210">
        <v>28981</v>
      </c>
      <c r="K210" s="18" t="s">
        <v>301</v>
      </c>
      <c r="L210" t="str">
        <f>VLOOKUP(B210,[1]Blad1!$A$1:$G$65536,7,FALSE)</f>
        <v>ES</v>
      </c>
    </row>
    <row r="211" spans="1:21" s="49" customFormat="1" x14ac:dyDescent="0.55000000000000004">
      <c r="A211" s="1"/>
      <c r="B211" s="1" t="s">
        <v>197</v>
      </c>
      <c r="G211" s="144" t="s">
        <v>455</v>
      </c>
      <c r="H211" s="49">
        <v>64</v>
      </c>
      <c r="I211" s="49" t="s">
        <v>456</v>
      </c>
      <c r="J211" s="145">
        <v>3700</v>
      </c>
      <c r="K211" s="18" t="s">
        <v>457</v>
      </c>
      <c r="L211" s="49" t="s">
        <v>458</v>
      </c>
      <c r="U211" s="15"/>
    </row>
    <row r="212" spans="1:21" s="49" customFormat="1" x14ac:dyDescent="0.55000000000000004">
      <c r="A212" s="1"/>
      <c r="B212" s="1" t="s">
        <v>197</v>
      </c>
      <c r="G212" s="146" t="s">
        <v>459</v>
      </c>
      <c r="H212" s="49">
        <v>13</v>
      </c>
      <c r="I212" s="49" t="s">
        <v>460</v>
      </c>
      <c r="J212" s="147" t="s">
        <v>461</v>
      </c>
      <c r="K212" s="18" t="s">
        <v>462</v>
      </c>
      <c r="L212" s="49" t="s">
        <v>458</v>
      </c>
      <c r="U212" s="15"/>
    </row>
    <row r="213" spans="1:21" x14ac:dyDescent="0.55000000000000004">
      <c r="B213" s="1" t="s">
        <v>198</v>
      </c>
      <c r="G213" t="str">
        <f>VLOOKUP(B213,[1]Blad1!$A$1:$G$65536,2,FALSE)</f>
        <v>De Noesten</v>
      </c>
      <c r="H213" t="str">
        <f>VLOOKUP(B213,[1]Blad1!$A$1:$G$65536,3,FALSE)</f>
        <v>86</v>
      </c>
      <c r="J213" t="str">
        <f>VLOOKUP(B213,[1]Blad1!$A$1:$G$65536,5,FALSE)</f>
        <v>9431 TG</v>
      </c>
      <c r="K213" t="str">
        <f>VLOOKUP(B213,[1]Blad1!$A$1:$G$65536,6,FALSE)</f>
        <v>Westerbork</v>
      </c>
      <c r="L213" t="str">
        <f>VLOOKUP(B213,[1]Blad1!$A$1:$G$65536,7,FALSE)</f>
        <v>NL</v>
      </c>
    </row>
    <row r="214" spans="1:21" x14ac:dyDescent="0.55000000000000004">
      <c r="B214" s="1" t="s">
        <v>199</v>
      </c>
      <c r="G214" t="str">
        <f>VLOOKUP(B214,[1]Blad1!$A$1:$G$65536,2,FALSE)</f>
        <v>Varis Koropiou</v>
      </c>
      <c r="H214" t="str">
        <f>VLOOKUP(B214,[1]Blad1!$A$1:$G$65536,3,FALSE)</f>
        <v>22</v>
      </c>
      <c r="J214">
        <v>16672</v>
      </c>
      <c r="K214" t="s">
        <v>302</v>
      </c>
      <c r="L214" t="str">
        <f>VLOOKUP(B214,[1]Blad1!$A$1:$G$65536,7,FALSE)</f>
        <v>GR</v>
      </c>
    </row>
    <row r="215" spans="1:21" x14ac:dyDescent="0.55000000000000004">
      <c r="B215" s="1" t="s">
        <v>200</v>
      </c>
      <c r="G215" t="str">
        <f>VLOOKUP(B215,[1]Blad1!$A$1:$G$65536,2,FALSE)</f>
        <v>Borrancho</v>
      </c>
      <c r="J215">
        <v>39110</v>
      </c>
      <c r="K215" t="s">
        <v>303</v>
      </c>
      <c r="L215" t="str">
        <f>VLOOKUP(B215,[1]Blad1!$A$1:$G$65536,7,FALSE)</f>
        <v>ES</v>
      </c>
    </row>
    <row r="216" spans="1:21" x14ac:dyDescent="0.55000000000000004">
      <c r="B216" s="1" t="s">
        <v>201</v>
      </c>
      <c r="G216" t="str">
        <f>VLOOKUP(B216,[1]Blad1!$A$1:$G$65536,2,FALSE)</f>
        <v>Botteveien</v>
      </c>
      <c r="H216" t="str">
        <f>VLOOKUP(B216,[1]Blad1!$A$1:$G$65536,3,FALSE)</f>
        <v>41</v>
      </c>
      <c r="J216">
        <v>3241</v>
      </c>
      <c r="K216" t="s">
        <v>304</v>
      </c>
      <c r="L216" t="str">
        <f>VLOOKUP(B216,[1]Blad1!$A$1:$G$65536,7,FALSE)</f>
        <v>NO</v>
      </c>
    </row>
    <row r="217" spans="1:21" x14ac:dyDescent="0.55000000000000004">
      <c r="B217" s="1" t="s">
        <v>202</v>
      </c>
      <c r="G217" t="str">
        <f>VLOOKUP(B217,[1]Blad1!$A$1:$G$65536,2,FALSE)</f>
        <v>Industriepark De Bruwaan</v>
      </c>
      <c r="H217" t="str">
        <f>VLOOKUP(B217,[1]Blad1!$A$1:$G$65536,3,FALSE)</f>
        <v>17</v>
      </c>
      <c r="J217" t="s">
        <v>310</v>
      </c>
      <c r="K217" t="s">
        <v>305</v>
      </c>
      <c r="L217" t="str">
        <f>VLOOKUP(B217,[1]Blad1!$A$1:$G$65536,7,FALSE)</f>
        <v>BE</v>
      </c>
    </row>
    <row r="218" spans="1:21" x14ac:dyDescent="0.55000000000000004">
      <c r="B218" s="1" t="s">
        <v>203</v>
      </c>
      <c r="G218" t="str">
        <f>VLOOKUP(B218,[1]Blad1!$A$1:$G$65536,2,FALSE)</f>
        <v>Rua da Comital</v>
      </c>
      <c r="H218" t="str">
        <f>VLOOKUP(B218,[1]Blad1!$A$1:$G$65536,3,FALSE)</f>
        <v>154</v>
      </c>
      <c r="J218" t="s">
        <v>311</v>
      </c>
      <c r="K218" t="s">
        <v>306</v>
      </c>
      <c r="L218" t="str">
        <f>VLOOKUP(B218,[1]Blad1!$A$1:$G$65536,7,FALSE)</f>
        <v>PT</v>
      </c>
    </row>
    <row r="219" spans="1:21" x14ac:dyDescent="0.55000000000000004">
      <c r="B219" s="1" t="s">
        <v>204</v>
      </c>
      <c r="G219" t="str">
        <f>VLOOKUP(B219,[1]Blad1!$A$1:$G$65536,2,FALSE)</f>
        <v>Industriepark De Bruwaan</v>
      </c>
      <c r="H219" t="str">
        <f>VLOOKUP(B219,[1]Blad1!$A$1:$G$65536,3,FALSE)</f>
        <v>17</v>
      </c>
      <c r="J219" t="s">
        <v>310</v>
      </c>
      <c r="K219" t="s">
        <v>305</v>
      </c>
      <c r="L219" t="str">
        <f>VLOOKUP(B219,[1]Blad1!$A$1:$G$65536,7,FALSE)</f>
        <v>BE</v>
      </c>
    </row>
    <row r="220" spans="1:21" x14ac:dyDescent="0.55000000000000004">
      <c r="B220" s="1" t="s">
        <v>205</v>
      </c>
      <c r="G220" t="str">
        <f>VLOOKUP(B220,[1]Blad1!$A$1:$G$65536,2,FALSE)</f>
        <v>Krivajska BB</v>
      </c>
      <c r="J220">
        <v>72220</v>
      </c>
      <c r="K220" t="s">
        <v>307</v>
      </c>
      <c r="L220" t="str">
        <f>VLOOKUP(B220,[1]Blad1!$A$1:$G$65536,7,FALSE)</f>
        <v>BA</v>
      </c>
    </row>
    <row r="221" spans="1:21" x14ac:dyDescent="0.55000000000000004">
      <c r="B221" s="1" t="s">
        <v>206</v>
      </c>
      <c r="G221" t="str">
        <f>VLOOKUP(B221,[1]Blad1!$A$1:$G$65536,2,FALSE)</f>
        <v>Schalserstrasse</v>
      </c>
      <c r="H221" t="str">
        <f>VLOOKUP(B221,[1]Blad1!$A$1:$G$65536,3,FALSE)</f>
        <v>41</v>
      </c>
      <c r="J221">
        <v>6200</v>
      </c>
      <c r="K221" t="s">
        <v>308</v>
      </c>
      <c r="L221" t="str">
        <f>VLOOKUP(B221,[1]Blad1!$A$1:$G$65536,7,FALSE)</f>
        <v>AT</v>
      </c>
    </row>
    <row r="222" spans="1:21" x14ac:dyDescent="0.55000000000000004">
      <c r="B222" s="1" t="s">
        <v>207</v>
      </c>
      <c r="G222" t="str">
        <f>VLOOKUP(B222,[1]Blad1!$A$1:$G$65536,2,FALSE)</f>
        <v>Elias Papakyriakou</v>
      </c>
      <c r="H222" t="str">
        <f>VLOOKUP(B222,[1]Blad1!$A$1:$G$65536,3,FALSE)</f>
        <v>8</v>
      </c>
      <c r="J222">
        <v>2415</v>
      </c>
      <c r="K222" t="s">
        <v>309</v>
      </c>
      <c r="L222" t="str">
        <f>VLOOKUP(B222,[1]Blad1!$A$1:$G$65536,7,FALSE)</f>
        <v>CY</v>
      </c>
    </row>
    <row r="223" spans="1:21" x14ac:dyDescent="0.55000000000000004">
      <c r="B223" s="1" t="s">
        <v>208</v>
      </c>
      <c r="G223" t="str">
        <f>VLOOKUP(B223,[1]Blad1!$A$1:$G$65536,2,FALSE)</f>
        <v>Industriepark De Bruwaan</v>
      </c>
      <c r="H223" t="str">
        <f>VLOOKUP(B223,[1]Blad1!$A$1:$G$65536,3,FALSE)</f>
        <v>17</v>
      </c>
      <c r="J223" t="s">
        <v>310</v>
      </c>
      <c r="K223" t="s">
        <v>305</v>
      </c>
      <c r="L223" t="str">
        <f>VLOOKUP(B223,[1]Blad1!$A$1:$G$65536,7,FALSE)</f>
        <v>BE</v>
      </c>
    </row>
    <row r="224" spans="1:21" x14ac:dyDescent="0.55000000000000004">
      <c r="B224" s="1" t="s">
        <v>209</v>
      </c>
      <c r="G224" t="str">
        <f>VLOOKUP(B224,[1]Blad1!$A$1:$G$65536,2,FALSE)</f>
        <v>Landaasweg</v>
      </c>
      <c r="H224" t="str">
        <f>VLOOKUP(B224,[1]Blad1!$A$1:$G$65536,3,FALSE)</f>
        <v>8</v>
      </c>
      <c r="J224" t="str">
        <f>VLOOKUP(B224,[1]Blad1!$A$1:$G$65536,5,FALSE)</f>
        <v>3931 GA</v>
      </c>
      <c r="K224" t="str">
        <f>VLOOKUP(B224,[1]Blad1!$A$1:$G$65536,6,FALSE)</f>
        <v>WOUDENBERG</v>
      </c>
      <c r="L224" t="str">
        <f>VLOOKUP(B224,[1]Blad1!$A$1:$G$65536,7,FALSE)</f>
        <v>NL</v>
      </c>
    </row>
    <row r="225" spans="1:21" x14ac:dyDescent="0.55000000000000004">
      <c r="B225" s="1" t="s">
        <v>210</v>
      </c>
      <c r="G225" t="str">
        <f>VLOOKUP(B225,[1]Blad1!$A$1:$G$65536,2,FALSE)</f>
        <v>Kunvent</v>
      </c>
      <c r="H225">
        <v>70</v>
      </c>
      <c r="I225" t="s">
        <v>463</v>
      </c>
      <c r="J225" t="str">
        <f>VLOOKUP(B225,[1]Blad1!$A$1:$G$65536,5,FALSE)</f>
        <v>ZBR 1353</v>
      </c>
      <c r="K225" t="str">
        <f>VLOOKUP(B225,[1]Blad1!$A$1:$G$65536,6,FALSE)</f>
        <v>ZABBAR</v>
      </c>
      <c r="L225" t="str">
        <f>VLOOKUP(B225,[1]Blad1!$A$1:$G$65536,7,FALSE)</f>
        <v>MT</v>
      </c>
    </row>
    <row r="226" spans="1:21" x14ac:dyDescent="0.55000000000000004">
      <c r="B226" s="1" t="s">
        <v>211</v>
      </c>
      <c r="G226" s="148" t="s">
        <v>464</v>
      </c>
      <c r="H226" t="s">
        <v>465</v>
      </c>
      <c r="J226" s="149" t="s">
        <v>466</v>
      </c>
      <c r="K226" t="s">
        <v>467</v>
      </c>
      <c r="L226" t="s">
        <v>468</v>
      </c>
    </row>
    <row r="227" spans="1:21" s="49" customFormat="1" x14ac:dyDescent="0.55000000000000004">
      <c r="A227" s="1"/>
      <c r="B227" s="1" t="s">
        <v>211</v>
      </c>
      <c r="G227" s="150" t="s">
        <v>469</v>
      </c>
      <c r="H227" s="49" t="s">
        <v>470</v>
      </c>
      <c r="J227" s="151">
        <v>12</v>
      </c>
      <c r="K227" s="49" t="s">
        <v>471</v>
      </c>
      <c r="L227" s="49" t="s">
        <v>472</v>
      </c>
      <c r="U227" s="15"/>
    </row>
    <row r="228" spans="1:21" s="49" customFormat="1" x14ac:dyDescent="0.55000000000000004">
      <c r="A228" s="1"/>
      <c r="B228" s="1" t="s">
        <v>211</v>
      </c>
      <c r="G228" s="152" t="s">
        <v>473</v>
      </c>
      <c r="H228" s="49">
        <v>38</v>
      </c>
      <c r="J228" s="153" t="s">
        <v>474</v>
      </c>
      <c r="K228" s="49" t="s">
        <v>475</v>
      </c>
      <c r="L228" s="49" t="s">
        <v>468</v>
      </c>
      <c r="U228" s="15"/>
    </row>
    <row r="229" spans="1:21" s="49" customFormat="1" x14ac:dyDescent="0.55000000000000004">
      <c r="A229" s="1"/>
      <c r="B229" s="1" t="s">
        <v>211</v>
      </c>
      <c r="G229" s="164" t="s">
        <v>491</v>
      </c>
      <c r="J229" s="165" t="s">
        <v>492</v>
      </c>
      <c r="K229" s="49" t="s">
        <v>493</v>
      </c>
      <c r="L229" s="49" t="s">
        <v>472</v>
      </c>
      <c r="U229" s="15"/>
    </row>
    <row r="230" spans="1:21" s="49" customFormat="1" x14ac:dyDescent="0.55000000000000004">
      <c r="A230" s="1"/>
      <c r="B230" s="1" t="s">
        <v>211</v>
      </c>
      <c r="G230" s="162" t="s">
        <v>488</v>
      </c>
      <c r="J230" s="163" t="s">
        <v>489</v>
      </c>
      <c r="K230" s="49" t="s">
        <v>490</v>
      </c>
      <c r="L230" s="49" t="s">
        <v>468</v>
      </c>
      <c r="U230" s="15"/>
    </row>
    <row r="231" spans="1:21" s="49" customFormat="1" x14ac:dyDescent="0.55000000000000004">
      <c r="A231" s="1"/>
      <c r="B231" s="1" t="s">
        <v>211</v>
      </c>
      <c r="G231" s="166" t="s">
        <v>494</v>
      </c>
      <c r="J231" s="167" t="s">
        <v>495</v>
      </c>
      <c r="K231" s="49" t="s">
        <v>496</v>
      </c>
      <c r="L231" s="49" t="s">
        <v>468</v>
      </c>
      <c r="U231" s="15"/>
    </row>
    <row r="232" spans="1:21" s="49" customFormat="1" x14ac:dyDescent="0.55000000000000004">
      <c r="A232" s="1"/>
      <c r="B232" s="1" t="s">
        <v>211</v>
      </c>
      <c r="G232" s="170" t="s">
        <v>500</v>
      </c>
      <c r="J232" s="169"/>
      <c r="K232" s="171" t="s">
        <v>501</v>
      </c>
      <c r="L232" s="49" t="s">
        <v>468</v>
      </c>
      <c r="U232" s="15"/>
    </row>
    <row r="233" spans="1:21" s="49" customFormat="1" x14ac:dyDescent="0.55000000000000004">
      <c r="A233" s="1"/>
      <c r="B233" s="1" t="s">
        <v>211</v>
      </c>
      <c r="G233" s="156" t="s">
        <v>479</v>
      </c>
      <c r="H233" s="49">
        <v>8</v>
      </c>
      <c r="J233" s="157" t="s">
        <v>480</v>
      </c>
      <c r="K233" s="49" t="s">
        <v>481</v>
      </c>
      <c r="L233" s="49" t="s">
        <v>468</v>
      </c>
      <c r="U233" s="15"/>
    </row>
    <row r="234" spans="1:21" s="49" customFormat="1" x14ac:dyDescent="0.55000000000000004">
      <c r="A234" s="1"/>
      <c r="B234" s="1" t="s">
        <v>211</v>
      </c>
      <c r="G234" s="168" t="s">
        <v>497</v>
      </c>
      <c r="J234" s="169" t="s">
        <v>498</v>
      </c>
      <c r="K234" s="49" t="s">
        <v>499</v>
      </c>
      <c r="L234" s="49" t="s">
        <v>468</v>
      </c>
      <c r="U234" s="15"/>
    </row>
    <row r="235" spans="1:21" s="49" customFormat="1" x14ac:dyDescent="0.55000000000000004">
      <c r="A235" s="1"/>
      <c r="B235" s="1" t="s">
        <v>211</v>
      </c>
      <c r="G235" s="160" t="s">
        <v>485</v>
      </c>
      <c r="H235" s="49">
        <v>26</v>
      </c>
      <c r="I235" s="49" t="s">
        <v>433</v>
      </c>
      <c r="J235" s="161" t="s">
        <v>486</v>
      </c>
      <c r="K235" s="49" t="s">
        <v>487</v>
      </c>
      <c r="L235" s="49" t="s">
        <v>26</v>
      </c>
      <c r="U235" s="15"/>
    </row>
    <row r="236" spans="1:21" s="49" customFormat="1" x14ac:dyDescent="0.55000000000000004">
      <c r="A236" s="1"/>
      <c r="B236" s="1" t="s">
        <v>211</v>
      </c>
      <c r="G236" s="158" t="s">
        <v>482</v>
      </c>
      <c r="J236" s="159" t="s">
        <v>483</v>
      </c>
      <c r="K236" s="49" t="s">
        <v>484</v>
      </c>
      <c r="L236" s="49" t="s">
        <v>468</v>
      </c>
      <c r="U236" s="15"/>
    </row>
    <row r="237" spans="1:21" s="49" customFormat="1" x14ac:dyDescent="0.55000000000000004">
      <c r="A237" s="1"/>
      <c r="B237" s="1" t="s">
        <v>211</v>
      </c>
      <c r="G237" s="154" t="s">
        <v>476</v>
      </c>
      <c r="H237" s="49" t="s">
        <v>477</v>
      </c>
      <c r="J237" s="155" t="s">
        <v>478</v>
      </c>
      <c r="K237" s="49" t="s">
        <v>467</v>
      </c>
      <c r="L237" s="49" t="s">
        <v>468</v>
      </c>
      <c r="U237" s="15"/>
    </row>
    <row r="238" spans="1:21" x14ac:dyDescent="0.55000000000000004">
      <c r="B238" s="1" t="s">
        <v>212</v>
      </c>
      <c r="J238" s="172">
        <v>34782</v>
      </c>
      <c r="K238" t="s">
        <v>502</v>
      </c>
      <c r="L238" t="s">
        <v>505</v>
      </c>
    </row>
    <row r="239" spans="1:21" x14ac:dyDescent="0.55000000000000004">
      <c r="B239" s="1" t="s">
        <v>213</v>
      </c>
      <c r="G239" s="173" t="s">
        <v>503</v>
      </c>
      <c r="H239">
        <v>18</v>
      </c>
      <c r="J239" s="174">
        <v>68800</v>
      </c>
      <c r="K239" t="s">
        <v>504</v>
      </c>
      <c r="L239" t="s">
        <v>506</v>
      </c>
    </row>
    <row r="240" spans="1:21" x14ac:dyDescent="0.55000000000000004">
      <c r="B240" s="1" t="s">
        <v>214</v>
      </c>
      <c r="G240" t="str">
        <f>VLOOKUP(B240,[1]Blad1!$A$1:$G$65536,2,FALSE)</f>
        <v>Vlijtseweg</v>
      </c>
      <c r="H240" t="str">
        <f>VLOOKUP(B240,[1]Blad1!$A$1:$G$65536,3,FALSE)</f>
        <v>196</v>
      </c>
      <c r="J240" t="str">
        <f>VLOOKUP(B240,[1]Blad1!$A$1:$G$65536,5,FALSE)</f>
        <v>7317 AN</v>
      </c>
      <c r="K240" t="str">
        <f>VLOOKUP(B240,[1]Blad1!$A$1:$G$65536,6,FALSE)</f>
        <v>Apeldoorn</v>
      </c>
      <c r="L240" t="str">
        <f>VLOOKUP(B240,[1]Blad1!$A$1:$G$65536,7,FALSE)</f>
        <v>NL</v>
      </c>
    </row>
    <row r="241" spans="1:21" x14ac:dyDescent="0.55000000000000004">
      <c r="B241" s="1" t="s">
        <v>215</v>
      </c>
      <c r="L241" t="s">
        <v>26</v>
      </c>
    </row>
    <row r="242" spans="1:21" x14ac:dyDescent="0.55000000000000004">
      <c r="B242" s="1" t="s">
        <v>216</v>
      </c>
      <c r="G242" t="str">
        <f>VLOOKUP(B242,[1]Blad1!$A$1:$G$65536,2,FALSE)</f>
        <v>Bartycka</v>
      </c>
      <c r="H242" t="str">
        <f>VLOOKUP(B242,[1]Blad1!$A$1:$G$65536,3,FALSE)</f>
        <v>20/24</v>
      </c>
      <c r="I242" t="str">
        <f>VLOOKUP(B242,[1]Blad1!$A$1:$G$65536,4,FALSE)</f>
        <v>Pawilon 7a</v>
      </c>
      <c r="J242" t="s">
        <v>313</v>
      </c>
      <c r="K242" t="s">
        <v>312</v>
      </c>
      <c r="L242" t="str">
        <f>VLOOKUP(B242,[1]Blad1!$A$1:$G$65536,7,FALSE)</f>
        <v>PL</v>
      </c>
    </row>
    <row r="243" spans="1:21" x14ac:dyDescent="0.55000000000000004">
      <c r="B243" s="1" t="s">
        <v>217</v>
      </c>
      <c r="G243" t="str">
        <f>VLOOKUP(B243,[1]Blad1!$A$1:$G$65536,2,FALSE)</f>
        <v>Niederkircherstr.</v>
      </c>
      <c r="H243" t="str">
        <f>VLOOKUP(B243,[1]Blad1!$A$1:$G$65536,3,FALSE)</f>
        <v>14</v>
      </c>
      <c r="J243">
        <v>54294</v>
      </c>
      <c r="K243" t="s">
        <v>314</v>
      </c>
      <c r="L243" t="str">
        <f>VLOOKUP(B243,[1]Blad1!$A$1:$G$65536,7,FALSE)</f>
        <v>DE</v>
      </c>
    </row>
    <row r="244" spans="1:21" x14ac:dyDescent="0.55000000000000004">
      <c r="B244" s="1" t="s">
        <v>218</v>
      </c>
      <c r="G244" t="str">
        <f>VLOOKUP(B244,[1]Blad1!$A$1:$G$65536,2,FALSE)</f>
        <v>Houtsestraat</v>
      </c>
      <c r="H244" t="str">
        <f>VLOOKUP(B244,[1]Blad1!$A$1:$G$65536,3,FALSE)</f>
        <v>33</v>
      </c>
      <c r="J244" t="str">
        <f>VLOOKUP(B244,[1]Blad1!$A$1:$G$65536,5,FALSE)</f>
        <v>5706 LR</v>
      </c>
      <c r="K244" t="str">
        <f>VLOOKUP(B244,[1]Blad1!$A$1:$G$65536,6,FALSE)</f>
        <v>Helmond</v>
      </c>
      <c r="L244" t="str">
        <f>VLOOKUP(B244,[1]Blad1!$A$1:$G$65536,7,FALSE)</f>
        <v>NL</v>
      </c>
    </row>
    <row r="245" spans="1:21" x14ac:dyDescent="0.55000000000000004">
      <c r="B245" s="1" t="s">
        <v>219</v>
      </c>
      <c r="G245" s="175" t="s">
        <v>507</v>
      </c>
      <c r="H245">
        <v>6</v>
      </c>
      <c r="J245" s="176">
        <v>5550</v>
      </c>
      <c r="K245" t="s">
        <v>508</v>
      </c>
      <c r="L245" t="s">
        <v>509</v>
      </c>
    </row>
    <row r="246" spans="1:21" s="49" customFormat="1" x14ac:dyDescent="0.55000000000000004">
      <c r="A246" s="1"/>
      <c r="B246" s="1" t="s">
        <v>219</v>
      </c>
      <c r="G246" s="179" t="s">
        <v>512</v>
      </c>
      <c r="H246" s="49">
        <v>96</v>
      </c>
      <c r="J246" s="180">
        <v>26931</v>
      </c>
      <c r="K246" s="49" t="s">
        <v>513</v>
      </c>
      <c r="L246" s="49" t="s">
        <v>509</v>
      </c>
      <c r="U246" s="15"/>
    </row>
    <row r="247" spans="1:21" s="49" customFormat="1" x14ac:dyDescent="0.55000000000000004">
      <c r="A247" s="1"/>
      <c r="B247" s="1" t="s">
        <v>219</v>
      </c>
      <c r="G247" s="181" t="s">
        <v>515</v>
      </c>
      <c r="H247" s="49">
        <v>66</v>
      </c>
      <c r="J247" s="182">
        <v>39042</v>
      </c>
      <c r="K247" s="49" t="s">
        <v>516</v>
      </c>
      <c r="L247" s="49" t="s">
        <v>517</v>
      </c>
      <c r="U247" s="15"/>
    </row>
    <row r="248" spans="1:21" s="49" customFormat="1" x14ac:dyDescent="0.55000000000000004">
      <c r="A248" s="1"/>
      <c r="B248" s="1" t="s">
        <v>219</v>
      </c>
      <c r="G248" s="177" t="s">
        <v>510</v>
      </c>
      <c r="H248" s="49">
        <v>1</v>
      </c>
      <c r="J248" s="178">
        <v>3360</v>
      </c>
      <c r="K248" s="49" t="s">
        <v>511</v>
      </c>
      <c r="L248" s="49" t="s">
        <v>514</v>
      </c>
      <c r="U248" s="15"/>
    </row>
    <row r="249" spans="1:21" x14ac:dyDescent="0.55000000000000004">
      <c r="B249" s="1" t="s">
        <v>220</v>
      </c>
      <c r="G249" t="str">
        <f>VLOOKUP(B249,[1]Blad1!$A$1:$G$65536,2,FALSE)</f>
        <v>Industriepark De Bruwaan</v>
      </c>
      <c r="H249" t="str">
        <f>VLOOKUP(B249,[1]Blad1!$A$1:$G$65536,3,FALSE)</f>
        <v>17</v>
      </c>
      <c r="J249" t="s">
        <v>310</v>
      </c>
      <c r="K249" t="s">
        <v>305</v>
      </c>
      <c r="L249" t="str">
        <f>VLOOKUP(B249,[1]Blad1!$A$1:$G$65536,7,FALSE)</f>
        <v>BE</v>
      </c>
    </row>
    <row r="250" spans="1:21" x14ac:dyDescent="0.55000000000000004">
      <c r="B250" s="1" t="s">
        <v>221</v>
      </c>
      <c r="G250" s="183" t="s">
        <v>518</v>
      </c>
      <c r="H250">
        <v>77</v>
      </c>
      <c r="L250" t="s">
        <v>519</v>
      </c>
    </row>
    <row r="251" spans="1:21" x14ac:dyDescent="0.55000000000000004">
      <c r="B251" s="1" t="s">
        <v>222</v>
      </c>
      <c r="G251" t="str">
        <f>VLOOKUP(B251,[1]Blad1!$A$1:$G$65536,2,FALSE)</f>
        <v>Van Zuijlen van Nieveltlaan</v>
      </c>
      <c r="H251" t="str">
        <f>VLOOKUP(B251,[1]Blad1!$A$1:$G$65536,3,FALSE)</f>
        <v>83</v>
      </c>
      <c r="J251" t="str">
        <f>VLOOKUP(B251,[1]Blad1!$A$1:$G$65536,5,FALSE)</f>
        <v>3771 AB</v>
      </c>
      <c r="K251" t="str">
        <f>VLOOKUP(B251,[1]Blad1!$A$1:$G$65536,6,FALSE)</f>
        <v>Barneveld</v>
      </c>
      <c r="L251" t="str">
        <f>VLOOKUP(B251,[1]Blad1!$A$1:$G$65536,7,FALSE)</f>
        <v>NL</v>
      </c>
    </row>
    <row r="252" spans="1:21" x14ac:dyDescent="0.55000000000000004">
      <c r="B252" s="1" t="s">
        <v>223</v>
      </c>
      <c r="G252" s="184" t="s">
        <v>520</v>
      </c>
      <c r="H252">
        <v>8</v>
      </c>
      <c r="J252" s="185">
        <v>33290</v>
      </c>
      <c r="K252" t="s">
        <v>521</v>
      </c>
      <c r="L252" t="s">
        <v>506</v>
      </c>
    </row>
    <row r="253" spans="1:21" x14ac:dyDescent="0.55000000000000004">
      <c r="B253" s="1" t="s">
        <v>224</v>
      </c>
      <c r="G253" t="str">
        <f>VLOOKUP(B253,[1]Blad1!$A$1:$G$65536,2,FALSE)</f>
        <v>Am Werk</v>
      </c>
      <c r="H253" t="str">
        <f>VLOOKUP(B253,[1]Blad1!$A$1:$G$65536,3,FALSE)</f>
        <v>3</v>
      </c>
      <c r="J253">
        <v>1295</v>
      </c>
      <c r="K253" t="s">
        <v>315</v>
      </c>
      <c r="L253" t="str">
        <f>VLOOKUP(B253,[1]Blad1!$A$1:$G$65536,7,FALSE)</f>
        <v>DE</v>
      </c>
    </row>
    <row r="254" spans="1:21" x14ac:dyDescent="0.55000000000000004">
      <c r="B254" s="1" t="s">
        <v>225</v>
      </c>
      <c r="G254" s="186" t="s">
        <v>522</v>
      </c>
      <c r="H254">
        <v>22</v>
      </c>
      <c r="J254" s="187" t="s">
        <v>523</v>
      </c>
      <c r="K254" t="str">
        <f>VLOOKUP(B254,[1]Blad1!$A$1:$G$65536,6,FALSE)</f>
        <v>Soest</v>
      </c>
      <c r="L254" t="str">
        <f>VLOOKUP(B254,[1]Blad1!$A$1:$G$65536,7,FALSE)</f>
        <v>NL</v>
      </c>
    </row>
    <row r="255" spans="1:21" x14ac:dyDescent="0.55000000000000004">
      <c r="B255" s="1" t="s">
        <v>226</v>
      </c>
      <c r="G255" s="188" t="s">
        <v>524</v>
      </c>
      <c r="H255" t="str">
        <f>VLOOKUP(B255,[1]Blad1!$A$1:$G$65536,3,FALSE)</f>
        <v>38</v>
      </c>
      <c r="J255">
        <v>59939</v>
      </c>
      <c r="K255" t="s">
        <v>316</v>
      </c>
      <c r="L255" t="str">
        <f>VLOOKUP(B255,[1]Blad1!$A$1:$G$65536,7,FALSE)</f>
        <v>CZ</v>
      </c>
    </row>
    <row r="256" spans="1:21" s="49" customFormat="1" x14ac:dyDescent="0.55000000000000004">
      <c r="A256" s="1"/>
      <c r="B256" s="1" t="s">
        <v>226</v>
      </c>
      <c r="G256" s="189" t="s">
        <v>525</v>
      </c>
      <c r="H256" s="49">
        <v>325</v>
      </c>
      <c r="J256" s="190" t="s">
        <v>526</v>
      </c>
      <c r="K256" s="49" t="s">
        <v>527</v>
      </c>
      <c r="L256" s="49" t="s">
        <v>528</v>
      </c>
      <c r="U256" s="15"/>
    </row>
    <row r="257" spans="1:21" x14ac:dyDescent="0.55000000000000004">
      <c r="B257" s="1" t="s">
        <v>227</v>
      </c>
      <c r="G257" t="str">
        <f>VLOOKUP(B257,[1]Blad1!$A$1:$G$65536,2,FALSE)</f>
        <v>Fuglevadsvej</v>
      </c>
      <c r="H257" t="str">
        <f>VLOOKUP(B257,[1]Blad1!$A$1:$G$65536,3,FALSE)</f>
        <v>69</v>
      </c>
      <c r="J257">
        <v>2800</v>
      </c>
      <c r="K257" t="s">
        <v>317</v>
      </c>
      <c r="L257" t="str">
        <f>VLOOKUP(B257,[1]Blad1!$A$1:$G$65536,7,FALSE)</f>
        <v>DK</v>
      </c>
    </row>
    <row r="258" spans="1:21" s="49" customFormat="1" x14ac:dyDescent="0.55000000000000004">
      <c r="A258" s="1"/>
      <c r="B258" s="1" t="s">
        <v>227</v>
      </c>
      <c r="G258" s="191" t="s">
        <v>529</v>
      </c>
      <c r="H258" s="49">
        <v>22</v>
      </c>
      <c r="I258" s="49" t="s">
        <v>530</v>
      </c>
      <c r="J258" s="192">
        <v>2950</v>
      </c>
      <c r="K258" s="49" t="s">
        <v>531</v>
      </c>
      <c r="L258" s="49" t="s">
        <v>509</v>
      </c>
      <c r="U258" s="15"/>
    </row>
    <row r="259" spans="1:21" s="49" customFormat="1" x14ac:dyDescent="0.55000000000000004">
      <c r="A259" s="1"/>
      <c r="B259" s="1" t="s">
        <v>227</v>
      </c>
      <c r="G259" s="193" t="s">
        <v>532</v>
      </c>
      <c r="H259" s="49">
        <v>5</v>
      </c>
      <c r="J259" s="194">
        <v>7400</v>
      </c>
      <c r="K259" s="49" t="s">
        <v>533</v>
      </c>
      <c r="L259" s="49" t="s">
        <v>509</v>
      </c>
      <c r="U259" s="15"/>
    </row>
    <row r="260" spans="1:21" x14ac:dyDescent="0.55000000000000004">
      <c r="B260" s="1" t="s">
        <v>228</v>
      </c>
      <c r="G260" t="str">
        <f>VLOOKUP(B260,[1]Blad1!$A$1:$G$65536,2,FALSE)</f>
        <v>MAGAZZINO MONT-EXPORT</v>
      </c>
      <c r="J260">
        <v>31029</v>
      </c>
      <c r="K260" t="s">
        <v>318</v>
      </c>
      <c r="L260" t="str">
        <f>VLOOKUP(B260,[1]Blad1!$A$1:$G$65536,7,FALSE)</f>
        <v>IT</v>
      </c>
    </row>
    <row r="261" spans="1:21" s="49" customFormat="1" x14ac:dyDescent="0.55000000000000004">
      <c r="A261" s="1"/>
      <c r="B261" s="1" t="s">
        <v>228</v>
      </c>
      <c r="G261" s="195" t="s">
        <v>534</v>
      </c>
      <c r="H261" s="49">
        <v>37</v>
      </c>
      <c r="I261" s="49" t="s">
        <v>350</v>
      </c>
      <c r="J261" s="196">
        <v>29010</v>
      </c>
      <c r="K261" s="49" t="s">
        <v>535</v>
      </c>
      <c r="L261" s="49" t="s">
        <v>517</v>
      </c>
      <c r="U261" s="15"/>
    </row>
    <row r="262" spans="1:21" s="49" customFormat="1" x14ac:dyDescent="0.55000000000000004">
      <c r="A262" s="1"/>
      <c r="B262" s="1" t="s">
        <v>228</v>
      </c>
      <c r="G262" s="197" t="s">
        <v>536</v>
      </c>
      <c r="H262" s="49">
        <v>11</v>
      </c>
      <c r="I262" s="49" t="s">
        <v>537</v>
      </c>
      <c r="J262" s="198">
        <v>25060</v>
      </c>
      <c r="K262" s="49" t="s">
        <v>538</v>
      </c>
      <c r="L262" s="49" t="s">
        <v>517</v>
      </c>
      <c r="U262" s="15"/>
    </row>
    <row r="263" spans="1:21" s="49" customFormat="1" x14ac:dyDescent="0.55000000000000004">
      <c r="A263" s="1"/>
      <c r="B263" s="1" t="s">
        <v>228</v>
      </c>
      <c r="G263" s="199" t="s">
        <v>539</v>
      </c>
      <c r="H263" s="49" t="s">
        <v>540</v>
      </c>
      <c r="J263" s="200">
        <v>31029</v>
      </c>
      <c r="K263" s="49" t="s">
        <v>541</v>
      </c>
      <c r="L263" s="49" t="s">
        <v>517</v>
      </c>
      <c r="U263" s="15"/>
    </row>
    <row r="264" spans="1:21" x14ac:dyDescent="0.55000000000000004">
      <c r="B264" s="1" t="s">
        <v>229</v>
      </c>
      <c r="G264" t="str">
        <f>VLOOKUP(B264,[1]Blad1!$A$1:$G$65536,2,FALSE)</f>
        <v>Albrecht-Dürer-Straße</v>
      </c>
      <c r="H264" t="str">
        <f>VLOOKUP(B264,[1]Blad1!$A$1:$G$65536,3,FALSE)</f>
        <v>14</v>
      </c>
      <c r="J264">
        <v>68723</v>
      </c>
      <c r="K264" t="s">
        <v>319</v>
      </c>
      <c r="L264" t="str">
        <f>VLOOKUP(B264,[1]Blad1!$A$1:$G$65536,7,FALSE)</f>
        <v>DE</v>
      </c>
    </row>
    <row r="265" spans="1:21" s="49" customFormat="1" x14ac:dyDescent="0.55000000000000004">
      <c r="A265" s="1"/>
      <c r="B265" s="1" t="s">
        <v>229</v>
      </c>
      <c r="G265" s="219" t="s">
        <v>559</v>
      </c>
      <c r="H265" s="49">
        <v>1</v>
      </c>
      <c r="I265" s="49" t="s">
        <v>560</v>
      </c>
      <c r="J265" s="220">
        <v>13089</v>
      </c>
      <c r="K265" s="49" t="s">
        <v>561</v>
      </c>
      <c r="L265" s="49" t="s">
        <v>446</v>
      </c>
      <c r="U265" s="15"/>
    </row>
    <row r="266" spans="1:21" s="49" customFormat="1" x14ac:dyDescent="0.55000000000000004">
      <c r="A266" s="1"/>
      <c r="B266" s="1" t="s">
        <v>229</v>
      </c>
      <c r="G266" s="221" t="s">
        <v>562</v>
      </c>
      <c r="H266" s="49">
        <v>2</v>
      </c>
      <c r="J266" s="222">
        <v>72488</v>
      </c>
      <c r="K266" s="49" t="s">
        <v>563</v>
      </c>
      <c r="L266" s="49" t="s">
        <v>446</v>
      </c>
      <c r="U266" s="15"/>
    </row>
    <row r="267" spans="1:21" s="49" customFormat="1" x14ac:dyDescent="0.55000000000000004">
      <c r="A267" s="1"/>
      <c r="B267" s="1" t="s">
        <v>229</v>
      </c>
      <c r="G267" s="223" t="s">
        <v>564</v>
      </c>
      <c r="H267" s="49">
        <v>5</v>
      </c>
      <c r="J267" s="224">
        <v>1237</v>
      </c>
      <c r="K267" s="49" t="s">
        <v>315</v>
      </c>
      <c r="L267" s="49" t="s">
        <v>446</v>
      </c>
      <c r="U267" s="15"/>
    </row>
    <row r="268" spans="1:21" s="49" customFormat="1" x14ac:dyDescent="0.55000000000000004">
      <c r="A268" s="1"/>
      <c r="B268" s="1" t="s">
        <v>229</v>
      </c>
      <c r="G268" s="225" t="s">
        <v>565</v>
      </c>
      <c r="H268" s="49">
        <v>32</v>
      </c>
      <c r="J268" s="226">
        <v>45527</v>
      </c>
      <c r="K268" s="49" t="s">
        <v>566</v>
      </c>
      <c r="L268" s="49" t="s">
        <v>446</v>
      </c>
      <c r="U268" s="15"/>
    </row>
    <row r="269" spans="1:21" s="49" customFormat="1" x14ac:dyDescent="0.55000000000000004">
      <c r="A269" s="1"/>
      <c r="B269" s="1" t="s">
        <v>229</v>
      </c>
      <c r="G269" s="233" t="s">
        <v>573</v>
      </c>
      <c r="H269" s="49">
        <v>3</v>
      </c>
      <c r="J269" s="234">
        <v>24837</v>
      </c>
      <c r="K269" s="49" t="s">
        <v>574</v>
      </c>
      <c r="L269" s="49" t="s">
        <v>446</v>
      </c>
      <c r="U269" s="15"/>
    </row>
    <row r="270" spans="1:21" s="49" customFormat="1" x14ac:dyDescent="0.55000000000000004">
      <c r="A270" s="1"/>
      <c r="B270" s="1" t="s">
        <v>229</v>
      </c>
      <c r="G270" s="247" t="s">
        <v>586</v>
      </c>
      <c r="H270" s="49">
        <v>2</v>
      </c>
      <c r="I270" s="49" t="s">
        <v>433</v>
      </c>
      <c r="J270" s="248">
        <v>4249</v>
      </c>
      <c r="K270" s="49" t="s">
        <v>587</v>
      </c>
      <c r="L270" s="49" t="s">
        <v>446</v>
      </c>
      <c r="U270" s="15"/>
    </row>
    <row r="271" spans="1:21" s="49" customFormat="1" x14ac:dyDescent="0.55000000000000004">
      <c r="A271" s="1"/>
      <c r="B271" s="1" t="s">
        <v>229</v>
      </c>
      <c r="G271" s="207" t="s">
        <v>547</v>
      </c>
      <c r="H271" s="49">
        <v>12</v>
      </c>
      <c r="J271" s="208">
        <v>89233</v>
      </c>
      <c r="K271" s="49" t="s">
        <v>548</v>
      </c>
      <c r="L271" s="49" t="s">
        <v>446</v>
      </c>
      <c r="U271" s="15"/>
    </row>
    <row r="272" spans="1:21" s="49" customFormat="1" x14ac:dyDescent="0.55000000000000004">
      <c r="A272" s="1"/>
      <c r="B272" s="1" t="s">
        <v>229</v>
      </c>
      <c r="G272" s="231" t="s">
        <v>571</v>
      </c>
      <c r="H272" s="49">
        <v>12</v>
      </c>
      <c r="J272" s="232">
        <v>48607</v>
      </c>
      <c r="K272" s="49" t="s">
        <v>572</v>
      </c>
      <c r="L272" s="49" t="s">
        <v>446</v>
      </c>
      <c r="U272" s="15"/>
    </row>
    <row r="273" spans="1:21" s="49" customFormat="1" x14ac:dyDescent="0.55000000000000004">
      <c r="A273" s="1"/>
      <c r="B273" s="1" t="s">
        <v>229</v>
      </c>
      <c r="G273" s="245" t="s">
        <v>584</v>
      </c>
      <c r="H273" s="49">
        <v>1</v>
      </c>
      <c r="J273" s="246">
        <v>35085</v>
      </c>
      <c r="K273" s="49" t="s">
        <v>585</v>
      </c>
      <c r="L273" s="49" t="s">
        <v>446</v>
      </c>
      <c r="U273" s="15"/>
    </row>
    <row r="274" spans="1:21" s="49" customFormat="1" x14ac:dyDescent="0.55000000000000004">
      <c r="A274" s="1"/>
      <c r="B274" s="1" t="s">
        <v>229</v>
      </c>
      <c r="G274" s="241" t="s">
        <v>580</v>
      </c>
      <c r="H274" s="49">
        <v>8</v>
      </c>
      <c r="J274" s="242">
        <v>40668</v>
      </c>
      <c r="K274" s="49" t="s">
        <v>581</v>
      </c>
      <c r="L274" s="49" t="s">
        <v>446</v>
      </c>
      <c r="U274" s="15"/>
    </row>
    <row r="275" spans="1:21" s="49" customFormat="1" x14ac:dyDescent="0.55000000000000004">
      <c r="A275" s="1"/>
      <c r="B275" s="1" t="s">
        <v>229</v>
      </c>
      <c r="G275" s="243" t="s">
        <v>582</v>
      </c>
      <c r="H275" s="49">
        <v>15</v>
      </c>
      <c r="J275" s="244">
        <v>47169</v>
      </c>
      <c r="K275" s="49" t="s">
        <v>583</v>
      </c>
      <c r="L275" s="49" t="s">
        <v>446</v>
      </c>
      <c r="U275" s="15"/>
    </row>
    <row r="276" spans="1:21" s="49" customFormat="1" x14ac:dyDescent="0.55000000000000004">
      <c r="A276" s="1"/>
      <c r="B276" s="1" t="s">
        <v>229</v>
      </c>
      <c r="G276" s="239" t="s">
        <v>578</v>
      </c>
      <c r="H276" s="49" t="s">
        <v>579</v>
      </c>
      <c r="J276" s="240">
        <v>13089</v>
      </c>
      <c r="K276" s="49" t="s">
        <v>561</v>
      </c>
      <c r="L276" s="49" t="s">
        <v>446</v>
      </c>
      <c r="U276" s="15"/>
    </row>
    <row r="277" spans="1:21" s="49" customFormat="1" x14ac:dyDescent="0.55000000000000004">
      <c r="A277" s="1"/>
      <c r="B277" s="1" t="s">
        <v>229</v>
      </c>
      <c r="G277" s="237" t="s">
        <v>576</v>
      </c>
      <c r="H277" s="49">
        <v>32</v>
      </c>
      <c r="J277" s="238">
        <v>25524</v>
      </c>
      <c r="K277" s="49" t="s">
        <v>577</v>
      </c>
      <c r="L277" s="49" t="s">
        <v>446</v>
      </c>
      <c r="U277" s="15"/>
    </row>
    <row r="278" spans="1:21" s="49" customFormat="1" x14ac:dyDescent="0.55000000000000004">
      <c r="A278" s="1"/>
      <c r="B278" s="1" t="s">
        <v>229</v>
      </c>
      <c r="G278" s="235" t="s">
        <v>575</v>
      </c>
      <c r="H278" s="49">
        <v>55</v>
      </c>
      <c r="J278" s="236">
        <v>10435</v>
      </c>
      <c r="K278" s="49" t="s">
        <v>561</v>
      </c>
      <c r="L278" s="49" t="s">
        <v>446</v>
      </c>
      <c r="U278" s="15"/>
    </row>
    <row r="279" spans="1:21" s="49" customFormat="1" x14ac:dyDescent="0.55000000000000004">
      <c r="A279" s="1"/>
      <c r="B279" s="1" t="s">
        <v>229</v>
      </c>
      <c r="G279" s="229" t="s">
        <v>569</v>
      </c>
      <c r="H279" s="49">
        <v>43</v>
      </c>
      <c r="J279" s="230">
        <v>25560</v>
      </c>
      <c r="K279" s="49" t="s">
        <v>570</v>
      </c>
      <c r="L279" s="49" t="s">
        <v>446</v>
      </c>
      <c r="U279" s="15"/>
    </row>
    <row r="280" spans="1:21" s="49" customFormat="1" x14ac:dyDescent="0.55000000000000004">
      <c r="A280" s="1"/>
      <c r="B280" s="1" t="s">
        <v>229</v>
      </c>
      <c r="G280" s="227" t="s">
        <v>567</v>
      </c>
      <c r="H280" s="49">
        <v>4</v>
      </c>
      <c r="J280" s="228">
        <v>41469</v>
      </c>
      <c r="K280" s="49" t="s">
        <v>568</v>
      </c>
      <c r="L280" s="49" t="s">
        <v>446</v>
      </c>
      <c r="U280" s="15"/>
    </row>
    <row r="281" spans="1:21" s="49" customFormat="1" x14ac:dyDescent="0.55000000000000004">
      <c r="A281" s="1"/>
      <c r="B281" s="1" t="s">
        <v>229</v>
      </c>
      <c r="G281" s="213" t="s">
        <v>553</v>
      </c>
      <c r="H281" s="49">
        <v>112</v>
      </c>
      <c r="J281" s="214">
        <v>45470</v>
      </c>
      <c r="K281" s="49" t="s">
        <v>554</v>
      </c>
      <c r="L281" s="49" t="s">
        <v>446</v>
      </c>
      <c r="U281" s="15"/>
    </row>
    <row r="282" spans="1:21" s="49" customFormat="1" x14ac:dyDescent="0.55000000000000004">
      <c r="A282" s="1"/>
      <c r="B282" s="1" t="s">
        <v>229</v>
      </c>
      <c r="G282" s="217" t="s">
        <v>557</v>
      </c>
      <c r="H282" s="49">
        <v>5</v>
      </c>
      <c r="J282" s="218">
        <v>4720</v>
      </c>
      <c r="K282" s="49" t="s">
        <v>558</v>
      </c>
      <c r="L282" s="49" t="s">
        <v>446</v>
      </c>
      <c r="U282" s="15"/>
    </row>
    <row r="283" spans="1:21" s="49" customFormat="1" x14ac:dyDescent="0.55000000000000004">
      <c r="A283" s="1"/>
      <c r="B283" s="1" t="s">
        <v>229</v>
      </c>
      <c r="G283" s="215" t="s">
        <v>555</v>
      </c>
      <c r="H283" s="49">
        <v>1</v>
      </c>
      <c r="I283" s="49" t="s">
        <v>433</v>
      </c>
      <c r="J283" s="216">
        <v>99439</v>
      </c>
      <c r="K283" s="49" t="s">
        <v>556</v>
      </c>
      <c r="L283" s="49" t="s">
        <v>446</v>
      </c>
      <c r="U283" s="15"/>
    </row>
    <row r="284" spans="1:21" s="49" customFormat="1" x14ac:dyDescent="0.55000000000000004">
      <c r="A284" s="1"/>
      <c r="B284" s="1" t="s">
        <v>229</v>
      </c>
      <c r="G284" s="211" t="s">
        <v>551</v>
      </c>
      <c r="H284" s="49">
        <v>24</v>
      </c>
      <c r="J284" s="212">
        <v>1809</v>
      </c>
      <c r="K284" s="49" t="s">
        <v>552</v>
      </c>
      <c r="L284" s="49" t="s">
        <v>446</v>
      </c>
      <c r="U284" s="15"/>
    </row>
    <row r="285" spans="1:21" s="49" customFormat="1" x14ac:dyDescent="0.55000000000000004">
      <c r="A285" s="1"/>
      <c r="B285" s="1" t="s">
        <v>229</v>
      </c>
      <c r="G285" s="201" t="s">
        <v>542</v>
      </c>
      <c r="H285" s="49">
        <v>3</v>
      </c>
      <c r="J285" s="202">
        <v>1259</v>
      </c>
      <c r="K285" s="49" t="s">
        <v>315</v>
      </c>
      <c r="L285" s="49" t="s">
        <v>446</v>
      </c>
      <c r="U285" s="15"/>
    </row>
    <row r="286" spans="1:21" s="49" customFormat="1" x14ac:dyDescent="0.55000000000000004">
      <c r="A286" s="1"/>
      <c r="B286" s="1" t="s">
        <v>229</v>
      </c>
      <c r="G286" s="209" t="s">
        <v>549</v>
      </c>
      <c r="H286" s="49">
        <v>5</v>
      </c>
      <c r="J286" s="210">
        <v>17213</v>
      </c>
      <c r="K286" s="49" t="s">
        <v>550</v>
      </c>
      <c r="L286" s="49" t="s">
        <v>446</v>
      </c>
      <c r="U286" s="15"/>
    </row>
    <row r="287" spans="1:21" s="49" customFormat="1" x14ac:dyDescent="0.55000000000000004">
      <c r="A287" s="1"/>
      <c r="B287" s="1" t="s">
        <v>229</v>
      </c>
      <c r="G287" s="205" t="s">
        <v>545</v>
      </c>
      <c r="H287" s="49">
        <v>10</v>
      </c>
      <c r="J287" s="206">
        <v>79639</v>
      </c>
      <c r="K287" s="49" t="s">
        <v>546</v>
      </c>
      <c r="L287" s="49" t="s">
        <v>446</v>
      </c>
      <c r="U287" s="15"/>
    </row>
    <row r="288" spans="1:21" s="49" customFormat="1" x14ac:dyDescent="0.55000000000000004">
      <c r="A288" s="1"/>
      <c r="B288" s="1" t="s">
        <v>229</v>
      </c>
      <c r="G288" s="203" t="s">
        <v>543</v>
      </c>
      <c r="H288" s="49">
        <v>17</v>
      </c>
      <c r="J288" s="204">
        <v>49811</v>
      </c>
      <c r="K288" s="49" t="s">
        <v>544</v>
      </c>
      <c r="L288" s="49" t="s">
        <v>446</v>
      </c>
      <c r="U288" s="15"/>
    </row>
    <row r="289" spans="1:21" x14ac:dyDescent="0.55000000000000004">
      <c r="B289" s="1" t="s">
        <v>230</v>
      </c>
      <c r="G289" t="str">
        <f>VLOOKUP(B289,[1]Blad1!$A$1:$G$65536,2,FALSE)</f>
        <v>Laagerfseweg</v>
      </c>
      <c r="H289" t="str">
        <f>VLOOKUP(B289,[1]Blad1!$A$1:$G$65536,3,FALSE)</f>
        <v>31</v>
      </c>
      <c r="I289" t="str">
        <f>VLOOKUP(B289,[1]Blad1!$A$1:$G$65536,4,FALSE)</f>
        <v>A</v>
      </c>
      <c r="J289" t="str">
        <f>VLOOKUP(B289,[1]Blad1!$A$1:$G$65536,5,FALSE)</f>
        <v>3931 PC</v>
      </c>
      <c r="K289" t="str">
        <f>VLOOKUP(B289,[1]Blad1!$A$1:$G$65536,6,FALSE)</f>
        <v>Woudenberg</v>
      </c>
      <c r="L289" t="str">
        <f>VLOOKUP(B289,[1]Blad1!$A$1:$G$65536,7,FALSE)</f>
        <v>NL</v>
      </c>
    </row>
    <row r="290" spans="1:21" x14ac:dyDescent="0.55000000000000004">
      <c r="B290" s="1" t="s">
        <v>231</v>
      </c>
      <c r="G290" t="str">
        <f>VLOOKUP(B290,[1]Blad1!$A$1:$G$65536,2,FALSE)</f>
        <v>Hüttenstraße</v>
      </c>
      <c r="H290" t="str">
        <f>VLOOKUP(B290,[1]Blad1!$A$1:$G$65536,3,FALSE)</f>
        <v>38</v>
      </c>
      <c r="J290" t="str">
        <f>VLOOKUP(B290,[1]Blad1!$A$1:$G$65536,5,FALSE)</f>
        <v>59939 Olsberg</v>
      </c>
      <c r="K290" t="s">
        <v>316</v>
      </c>
      <c r="L290" t="str">
        <f>VLOOKUP(B290,[1]Blad1!$A$1:$G$65536,7,FALSE)</f>
        <v>DE</v>
      </c>
    </row>
    <row r="291" spans="1:21" x14ac:dyDescent="0.55000000000000004">
      <c r="B291" s="1" t="s">
        <v>232</v>
      </c>
      <c r="G291" t="str">
        <f>VLOOKUP(B291,[1]Blad1!$A$1:$G$65536,2,FALSE)</f>
        <v>Am Langen Graben</v>
      </c>
      <c r="H291" t="str">
        <f>VLOOKUP(B291,[1]Blad1!$A$1:$G$65536,3,FALSE)</f>
        <v>28</v>
      </c>
      <c r="J291">
        <v>52353</v>
      </c>
      <c r="K291" t="s">
        <v>321</v>
      </c>
      <c r="L291" t="str">
        <f>VLOOKUP(B291,[1]Blad1!$A$1:$G$65536,7,FALSE)</f>
        <v>DE</v>
      </c>
    </row>
    <row r="292" spans="1:21" x14ac:dyDescent="0.55000000000000004">
      <c r="B292" s="1" t="s">
        <v>233</v>
      </c>
      <c r="G292" t="str">
        <f>VLOOKUP(B292,[1]Blad1!$A$1:$G$65536,2,FALSE)</f>
        <v>Aspackerstrasse</v>
      </c>
      <c r="H292" t="str">
        <f>VLOOKUP(B292,[1]Blad1!$A$1:$G$65536,3,FALSE)</f>
        <v>54</v>
      </c>
      <c r="J292">
        <v>8413</v>
      </c>
      <c r="K292" t="s">
        <v>320</v>
      </c>
      <c r="L292" t="str">
        <f>VLOOKUP(B292,[1]Blad1!$A$1:$G$65536,7,FALSE)</f>
        <v>CH</v>
      </c>
    </row>
    <row r="293" spans="1:21" x14ac:dyDescent="0.55000000000000004">
      <c r="B293" s="1" t="s">
        <v>234</v>
      </c>
      <c r="G293" t="str">
        <f>VLOOKUP(B293,[1]Blad1!$A$1:$G$65536,2,FALSE)</f>
        <v>Duindamseweg</v>
      </c>
      <c r="H293" t="str">
        <f>VLOOKUP(B293,[1]Blad1!$A$1:$G$65536,3,FALSE)</f>
        <v>7</v>
      </c>
      <c r="J293" t="str">
        <f>VLOOKUP(B293,[1]Blad1!$A$1:$G$65536,5,FALSE)</f>
        <v>2204 BK</v>
      </c>
      <c r="K293" t="str">
        <f>VLOOKUP(B293,[1]Blad1!$A$1:$G$65536,6,FALSE)</f>
        <v>Noordwijk</v>
      </c>
      <c r="L293" t="str">
        <f>VLOOKUP(B293,[1]Blad1!$A$1:$G$65536,7,FALSE)</f>
        <v>NL</v>
      </c>
    </row>
    <row r="294" spans="1:21" x14ac:dyDescent="0.55000000000000004">
      <c r="B294" s="1" t="s">
        <v>235</v>
      </c>
      <c r="G294" t="str">
        <f>VLOOKUP(B294,[1]Blad1!$A$1:$G$65536,2,FALSE)</f>
        <v>A. Hofmanweg</v>
      </c>
      <c r="H294" t="str">
        <f>VLOOKUP(B294,[1]Blad1!$A$1:$G$65536,3,FALSE)</f>
        <v>22</v>
      </c>
      <c r="J294" t="str">
        <f>VLOOKUP(B294,[1]Blad1!$A$1:$G$65536,5,FALSE)</f>
        <v>2031 BL</v>
      </c>
      <c r="K294" t="str">
        <f>VLOOKUP(B294,[1]Blad1!$A$1:$G$65536,6,FALSE)</f>
        <v>Haarlem</v>
      </c>
      <c r="L294" t="str">
        <f>VLOOKUP(B294,[1]Blad1!$A$1:$G$65536,7,FALSE)</f>
        <v>NL</v>
      </c>
    </row>
    <row r="295" spans="1:21" x14ac:dyDescent="0.55000000000000004">
      <c r="B295" s="1" t="s">
        <v>236</v>
      </c>
      <c r="G295" t="str">
        <f>VLOOKUP(B295,[1]Blad1!$A$1:$G$65536,2,FALSE)</f>
        <v>Donkere Spaarne</v>
      </c>
      <c r="H295">
        <v>30</v>
      </c>
      <c r="J295" t="str">
        <f>VLOOKUP(B295,[1]Blad1!$A$1:$G$65536,5,FALSE)</f>
        <v>2011 JG</v>
      </c>
      <c r="K295" t="str">
        <f>VLOOKUP(B295,[1]Blad1!$A$1:$G$65536,6,FALSE)</f>
        <v>Haarlem</v>
      </c>
      <c r="L295" t="str">
        <f>VLOOKUP(B295,[1]Blad1!$A$1:$G$65536,7,FALSE)</f>
        <v>NL</v>
      </c>
    </row>
    <row r="296" spans="1:21" s="49" customFormat="1" x14ac:dyDescent="0.55000000000000004">
      <c r="A296" s="1"/>
      <c r="B296" s="1" t="s">
        <v>236</v>
      </c>
      <c r="G296" s="249" t="s">
        <v>588</v>
      </c>
      <c r="H296" s="49">
        <v>95</v>
      </c>
      <c r="J296" s="250" t="s">
        <v>589</v>
      </c>
      <c r="K296" s="49" t="s">
        <v>590</v>
      </c>
      <c r="L296" s="49" t="s">
        <v>26</v>
      </c>
      <c r="U296" s="15"/>
    </row>
    <row r="297" spans="1:21" x14ac:dyDescent="0.55000000000000004">
      <c r="B297" s="1" t="s">
        <v>237</v>
      </c>
      <c r="G297" t="str">
        <f>VLOOKUP(B297,[1]Blad1!$A$1:$G$65536,2,FALSE)</f>
        <v>Ambachtsweg</v>
      </c>
      <c r="H297" t="str">
        <f>VLOOKUP(B297,[1]Blad1!$A$1:$G$65536,3,FALSE)</f>
        <v>5513</v>
      </c>
      <c r="J297" t="str">
        <f>VLOOKUP(B297,[1]Blad1!$A$1:$G$65536,5,FALSE)</f>
        <v>1271 AL</v>
      </c>
      <c r="K297" t="str">
        <f>VLOOKUP(B297,[1]Blad1!$A$1:$G$65536,6,FALSE)</f>
        <v>Huizen</v>
      </c>
      <c r="L297" t="str">
        <f>VLOOKUP(B297,[1]Blad1!$A$1:$G$65536,7,FALSE)</f>
        <v>NL</v>
      </c>
    </row>
    <row r="298" spans="1:21" x14ac:dyDescent="0.55000000000000004">
      <c r="B298" s="1" t="s">
        <v>238</v>
      </c>
      <c r="G298" t="str">
        <f>VLOOKUP(B298,[1]Blad1!$A$1:$G$65536,2,FALSE)</f>
        <v>Gieterij</v>
      </c>
      <c r="H298" t="str">
        <f>VLOOKUP(B298,[1]Blad1!$A$1:$G$65536,3,FALSE)</f>
        <v>44</v>
      </c>
      <c r="I298" t="str">
        <f>VLOOKUP(B298,[1]Blad1!$A$1:$G$65536,4,FALSE)</f>
        <v>a</v>
      </c>
      <c r="J298" t="str">
        <f>VLOOKUP(B298,[1]Blad1!$A$1:$G$65536,5,FALSE)</f>
        <v>2210 AA</v>
      </c>
      <c r="K298" t="str">
        <f>VLOOKUP(B298,[1]Blad1!$A$1:$G$65536,6,FALSE)</f>
        <v>Noordwijkerhout</v>
      </c>
      <c r="L298" t="str">
        <f>VLOOKUP(B298,[1]Blad1!$A$1:$G$65536,7,FALSE)</f>
        <v>NL</v>
      </c>
    </row>
    <row r="299" spans="1:21" x14ac:dyDescent="0.55000000000000004">
      <c r="B299" s="1" t="s">
        <v>239</v>
      </c>
      <c r="G299" t="str">
        <f>VLOOKUP(B299,[1]Blad1!$A$1:$G$65536,2,FALSE)</f>
        <v>Schietlood</v>
      </c>
      <c r="H299" t="str">
        <f>VLOOKUP(B299,[1]Blad1!$A$1:$G$65536,3,FALSE)</f>
        <v>16</v>
      </c>
      <c r="J299" t="str">
        <f>VLOOKUP(B299,[1]Blad1!$A$1:$G$65536,5,FALSE)</f>
        <v>2495 AN</v>
      </c>
      <c r="K299" t="str">
        <f>VLOOKUP(B299,[1]Blad1!$A$1:$G$65536,6,FALSE)</f>
        <v>s-Gravenhage</v>
      </c>
      <c r="L299" t="str">
        <f>VLOOKUP(B299,[1]Blad1!$A$1:$G$65536,7,FALSE)</f>
        <v>NL</v>
      </c>
    </row>
    <row r="300" spans="1:21" x14ac:dyDescent="0.55000000000000004">
      <c r="B300" s="1" t="s">
        <v>240</v>
      </c>
      <c r="G300" t="str">
        <f>VLOOKUP(B300,[1]Blad1!$A$1:$G$65536,2,FALSE)</f>
        <v>VOORTHUIZERSTRAAT</v>
      </c>
      <c r="H300" t="str">
        <f>VLOOKUP(B300,[1]Blad1!$A$1:$G$65536,3,FALSE)</f>
        <v>75</v>
      </c>
      <c r="J300" t="str">
        <f>VLOOKUP(B300,[1]Blad1!$A$1:$G$65536,5,FALSE)</f>
        <v>3881 SE</v>
      </c>
      <c r="K300" t="str">
        <f>VLOOKUP(B300,[1]Blad1!$A$1:$G$65536,6,FALSE)</f>
        <v>PUTTEN</v>
      </c>
      <c r="L300" t="str">
        <f>VLOOKUP(B300,[1]Blad1!$A$1:$G$65536,7,FALSE)</f>
        <v>NL</v>
      </c>
    </row>
    <row r="301" spans="1:21" x14ac:dyDescent="0.55000000000000004">
      <c r="B301" s="1" t="s">
        <v>241</v>
      </c>
    </row>
    <row r="302" spans="1:21" x14ac:dyDescent="0.55000000000000004">
      <c r="B302" s="1" t="s">
        <v>242</v>
      </c>
      <c r="G302" t="str">
        <f>VLOOKUP(B302,[1]Blad1!$A$1:$G$65536,2,FALSE)</f>
        <v>Bedafseweg</v>
      </c>
      <c r="H302" t="str">
        <f>VLOOKUP(B302,[1]Blad1!$A$1:$G$65536,3,FALSE)</f>
        <v>14</v>
      </c>
      <c r="J302" t="str">
        <f>VLOOKUP(B302,[1]Blad1!$A$1:$G$65536,5,FALSE)</f>
        <v>5406 TM</v>
      </c>
      <c r="K302" t="str">
        <f>VLOOKUP(B302,[1]Blad1!$A$1:$G$65536,6,FALSE)</f>
        <v>Uden</v>
      </c>
      <c r="L302" t="str">
        <f>VLOOKUP(B302,[1]Blad1!$A$1:$G$65536,7,FALSE)</f>
        <v>NL</v>
      </c>
    </row>
    <row r="303" spans="1:21" x14ac:dyDescent="0.55000000000000004">
      <c r="B303" s="1" t="s">
        <v>243</v>
      </c>
      <c r="G303" t="str">
        <f>VLOOKUP(B303,[1]Blad1!$A$1:$G$65536,2,FALSE)</f>
        <v>Klein Vink</v>
      </c>
      <c r="H303" t="str">
        <f>VLOOKUP(B303,[1]Blad1!$A$1:$G$65536,3,FALSE)</f>
        <v>4</v>
      </c>
      <c r="J303" t="str">
        <f>VLOOKUP(B303,[1]Blad1!$A$1:$G$65536,5,FALSE)</f>
        <v>5944 EX</v>
      </c>
      <c r="K303" t="str">
        <f>VLOOKUP(B303,[1]Blad1!$A$1:$G$65536,6,FALSE)</f>
        <v>Arcen</v>
      </c>
      <c r="L303" t="str">
        <f>VLOOKUP(B303,[1]Blad1!$A$1:$G$65536,7,FALSE)</f>
        <v>NL</v>
      </c>
    </row>
    <row r="304" spans="1:21" x14ac:dyDescent="0.55000000000000004">
      <c r="B304" s="1" t="s">
        <v>244</v>
      </c>
      <c r="G304" t="str">
        <f>VLOOKUP(B304,[1]Blad1!$A$1:$G$65536,2,FALSE)</f>
        <v>Betonstraat</v>
      </c>
      <c r="H304" t="str">
        <f>VLOOKUP(B304,[1]Blad1!$A$1:$G$65536,3,FALSE)</f>
        <v>23</v>
      </c>
      <c r="J304" t="str">
        <f>VLOOKUP(B304,[1]Blad1!$A$1:$G$65536,5,FALSE)</f>
        <v>8265 BL</v>
      </c>
      <c r="K304" t="str">
        <f>VLOOKUP(B304,[1]Blad1!$A$1:$G$65536,6,FALSE)</f>
        <v>Kampen</v>
      </c>
      <c r="L304" t="str">
        <f>VLOOKUP(B304,[1]Blad1!$A$1:$G$65536,7,FALSE)</f>
        <v>NL</v>
      </c>
    </row>
    <row r="305" spans="1:21" x14ac:dyDescent="0.55000000000000004">
      <c r="B305" s="1" t="s">
        <v>245</v>
      </c>
      <c r="G305" t="str">
        <f>VLOOKUP(B305,[1]Blad1!$A$1:$G$65536,2,FALSE)</f>
        <v>Tunnelweg</v>
      </c>
      <c r="H305" t="str">
        <f>VLOOKUP(B305,[1]Blad1!$A$1:$G$65536,3,FALSE)</f>
        <v>7</v>
      </c>
      <c r="I305" t="str">
        <f>VLOOKUP(B305,[1]Blad1!$A$1:$G$65536,4,FALSE)</f>
        <v>F</v>
      </c>
      <c r="J305" t="str">
        <f>VLOOKUP(B305,[1]Blad1!$A$1:$G$65536,5,FALSE)</f>
        <v>7448 RV</v>
      </c>
      <c r="K305" t="str">
        <f>VLOOKUP(B305,[1]Blad1!$A$1:$G$65536,6,FALSE)</f>
        <v>Haarle Gem Hellendoorn</v>
      </c>
      <c r="L305" t="str">
        <f>VLOOKUP(B305,[1]Blad1!$A$1:$G$65536,7,FALSE)</f>
        <v>NL</v>
      </c>
    </row>
    <row r="306" spans="1:21" x14ac:dyDescent="0.55000000000000004">
      <c r="B306" s="1" t="s">
        <v>246</v>
      </c>
      <c r="G306" t="str">
        <f>VLOOKUP(B306,[1]Blad1!$A$1:$G$65536,2,FALSE)</f>
        <v>Nijverheidsweg</v>
      </c>
      <c r="H306" t="str">
        <f>VLOOKUP(B306,[1]Blad1!$A$1:$G$65536,3,FALSE)</f>
        <v>2</v>
      </c>
      <c r="I306" t="str">
        <f>VLOOKUP(B306,[1]Blad1!$A$1:$G$65536,4,FALSE)</f>
        <v>C</v>
      </c>
      <c r="J306" t="str">
        <f>VLOOKUP(B306,[1]Blad1!$A$1:$G$65536,5,FALSE)</f>
        <v>7921 JJ</v>
      </c>
      <c r="K306" t="str">
        <f>VLOOKUP(B306,[1]Blad1!$A$1:$G$65536,6,FALSE)</f>
        <v>Zuidwolde DR</v>
      </c>
      <c r="L306" t="str">
        <f>VLOOKUP(B306,[1]Blad1!$A$1:$G$65536,7,FALSE)</f>
        <v>NL</v>
      </c>
    </row>
    <row r="307" spans="1:21" x14ac:dyDescent="0.55000000000000004">
      <c r="B307" s="1" t="s">
        <v>247</v>
      </c>
      <c r="G307" t="str">
        <f>VLOOKUP(B307,[1]Blad1!$A$1:$G$65536,2,FALSE)</f>
        <v>Kruisweg</v>
      </c>
      <c r="H307" t="str">
        <f>VLOOKUP(B307,[1]Blad1!$A$1:$G$65536,3,FALSE)</f>
        <v>1115</v>
      </c>
      <c r="I307" t="str">
        <f>VLOOKUP(B307,[1]Blad1!$A$1:$G$65536,4,FALSE)</f>
        <v>A</v>
      </c>
      <c r="J307" t="s">
        <v>323</v>
      </c>
      <c r="K307" t="s">
        <v>322</v>
      </c>
      <c r="L307" t="str">
        <f>VLOOKUP(B307,[1]Blad1!$A$1:$G$65536,7,FALSE)</f>
        <v>NL</v>
      </c>
    </row>
    <row r="308" spans="1:21" x14ac:dyDescent="0.55000000000000004">
      <c r="B308" s="1" t="s">
        <v>248</v>
      </c>
      <c r="G308" t="str">
        <f>VLOOKUP(B308,[1]Blad1!$A$1:$G$65536,2,FALSE)</f>
        <v>Binnendamseweg</v>
      </c>
      <c r="H308" t="str">
        <f>VLOOKUP(B308,[1]Blad1!$A$1:$G$65536,3,FALSE)</f>
        <v>26</v>
      </c>
      <c r="I308" t="str">
        <f>VLOOKUP(B308,[1]Blad1!$A$1:$G$65536,4,FALSE)</f>
        <v>A</v>
      </c>
      <c r="J308" t="str">
        <f>VLOOKUP(B308,[1]Blad1!$A$1:$G$65536,5,FALSE)</f>
        <v>3381 GC</v>
      </c>
      <c r="K308" t="str">
        <f>VLOOKUP(B308,[1]Blad1!$A$1:$G$65536,6,FALSE)</f>
        <v>Giessenburg</v>
      </c>
      <c r="L308" t="str">
        <f>VLOOKUP(B308,[1]Blad1!$A$1:$G$65536,7,FALSE)</f>
        <v>NL</v>
      </c>
    </row>
    <row r="309" spans="1:21" x14ac:dyDescent="0.55000000000000004">
      <c r="B309" s="1" t="s">
        <v>249</v>
      </c>
      <c r="G309" t="str">
        <f>VLOOKUP(B309,[1]Blad1!$A$1:$G$65536,2,FALSE)</f>
        <v>Nachtschadestraat</v>
      </c>
      <c r="H309" t="str">
        <f>VLOOKUP(B309,[1]Blad1!$A$1:$G$65536,3,FALSE)</f>
        <v>21</v>
      </c>
      <c r="J309" t="str">
        <f>VLOOKUP(B309,[1]Blad1!$A$1:$G$65536,5,FALSE)</f>
        <v>3053 JX</v>
      </c>
      <c r="K309" t="str">
        <f>VLOOKUP(B309,[1]Blad1!$A$1:$G$65536,6,FALSE)</f>
        <v>Rotterdam</v>
      </c>
      <c r="L309" t="str">
        <f>VLOOKUP(B309,[1]Blad1!$A$1:$G$65536,7,FALSE)</f>
        <v>NL</v>
      </c>
    </row>
    <row r="310" spans="1:21" x14ac:dyDescent="0.55000000000000004">
      <c r="B310" s="1" t="s">
        <v>250</v>
      </c>
      <c r="G310" t="str">
        <f>VLOOKUP(B310,[1]Blad1!$A$1:$G$65536,2,FALSE)</f>
        <v>De Dieze</v>
      </c>
      <c r="H310" t="str">
        <f>VLOOKUP(B310,[1]Blad1!$A$1:$G$65536,3,FALSE)</f>
        <v>44</v>
      </c>
      <c r="J310" t="s">
        <v>327</v>
      </c>
      <c r="K310" t="s">
        <v>324</v>
      </c>
      <c r="L310" t="str">
        <f>VLOOKUP(B310,[1]Blad1!$A$1:$G$65536,7,FALSE)</f>
        <v>NL</v>
      </c>
    </row>
    <row r="311" spans="1:21" x14ac:dyDescent="0.55000000000000004">
      <c r="B311" s="1" t="s">
        <v>251</v>
      </c>
      <c r="G311" t="str">
        <f>VLOOKUP(B311,[1]Blad1!$A$1:$G$65536,2,FALSE)</f>
        <v>Kalkhoven</v>
      </c>
      <c r="H311" t="str">
        <f>VLOOKUP(B311,[1]Blad1!$A$1:$G$65536,3,FALSE)</f>
        <v>18</v>
      </c>
      <c r="J311" t="s">
        <v>328</v>
      </c>
      <c r="K311" t="s">
        <v>325</v>
      </c>
      <c r="L311" t="str">
        <f>VLOOKUP(B311,[1]Blad1!$A$1:$G$65536,7,FALSE)</f>
        <v>NL</v>
      </c>
    </row>
    <row r="312" spans="1:21" x14ac:dyDescent="0.55000000000000004">
      <c r="B312" s="1" t="s">
        <v>252</v>
      </c>
      <c r="G312" t="str">
        <f>VLOOKUP(B312,[1]Blad1!$A$1:$G$65536,2,FALSE)</f>
        <v>Bloemisterijstraat</v>
      </c>
      <c r="H312" t="str">
        <f>VLOOKUP(B312,[1]Blad1!$A$1:$G$65536,3,FALSE)</f>
        <v>21</v>
      </c>
      <c r="I312" t="str">
        <f>VLOOKUP(B312,[1]Blad1!$A$1:$G$65536,4,FALSE)</f>
        <v>A</v>
      </c>
      <c r="J312">
        <v>8340</v>
      </c>
      <c r="K312" t="s">
        <v>326</v>
      </c>
      <c r="L312" t="str">
        <f>VLOOKUP(B312,[1]Blad1!$A$1:$G$65536,7,FALSE)</f>
        <v>NL</v>
      </c>
    </row>
    <row r="313" spans="1:21" x14ac:dyDescent="0.55000000000000004">
      <c r="B313" s="1" t="s">
        <v>253</v>
      </c>
      <c r="G313" t="str">
        <f>VLOOKUP(B313,[1]Blad1!$A$1:$G$65536,2,FALSE)</f>
        <v>Wormerweg</v>
      </c>
      <c r="H313" t="str">
        <f>VLOOKUP(B313,[1]Blad1!$A$1:$G$65536,3,FALSE)</f>
        <v>4</v>
      </c>
      <c r="I313" t="str">
        <f>VLOOKUP(B313,[1]Blad1!$A$1:$G$65536,4,FALSE)</f>
        <v>G-7</v>
      </c>
      <c r="J313" t="str">
        <f>VLOOKUP(B313,[1]Blad1!$A$1:$G$65536,5,FALSE)</f>
        <v>1311 XB</v>
      </c>
      <c r="K313" t="str">
        <f>VLOOKUP(B313,[1]Blad1!$A$1:$G$65536,6,FALSE)</f>
        <v>Almere</v>
      </c>
      <c r="L313" t="str">
        <f>VLOOKUP(B313,[1]Blad1!$A$1:$G$65536,7,FALSE)</f>
        <v>NL</v>
      </c>
    </row>
    <row r="314" spans="1:21" x14ac:dyDescent="0.55000000000000004">
      <c r="B314" s="1" t="s">
        <v>254</v>
      </c>
      <c r="G314" t="str">
        <f>VLOOKUP(B314,[1]Blad1!$A$1:$G$65536,2,FALSE)</f>
        <v>Schaarweide</v>
      </c>
      <c r="H314" t="str">
        <f>VLOOKUP(B314,[1]Blad1!$A$1:$G$65536,3,FALSE)</f>
        <v>112</v>
      </c>
      <c r="J314" t="s">
        <v>330</v>
      </c>
      <c r="K314" t="s">
        <v>329</v>
      </c>
      <c r="L314" t="str">
        <f>VLOOKUP(B314,[1]Blad1!$A$1:$G$65536,7,FALSE)</f>
        <v>NL</v>
      </c>
    </row>
    <row r="315" spans="1:21" x14ac:dyDescent="0.55000000000000004">
      <c r="B315" s="1" t="s">
        <v>255</v>
      </c>
      <c r="G315" t="str">
        <f>VLOOKUP(B315,[1]Blad1!$A$1:$G$65536,2,FALSE)</f>
        <v>Ommelseweg</v>
      </c>
      <c r="H315">
        <v>51</v>
      </c>
      <c r="I315" t="s">
        <v>530</v>
      </c>
      <c r="J315" s="251" t="s">
        <v>591</v>
      </c>
      <c r="K315" t="str">
        <f>VLOOKUP(B315,[1]Blad1!$A$1:$G$65536,6,FALSE)</f>
        <v>Asten</v>
      </c>
      <c r="L315" t="str">
        <f>VLOOKUP(B315,[1]Blad1!$A$1:$G$65536,7,FALSE)</f>
        <v>NL</v>
      </c>
    </row>
    <row r="316" spans="1:21" x14ac:dyDescent="0.55000000000000004">
      <c r="B316" s="1" t="s">
        <v>256</v>
      </c>
      <c r="G316" t="str">
        <f>VLOOKUP(B316,[1]Blad1!$A$1:$G$65536,2,FALSE)</f>
        <v>Miggelenbergweg</v>
      </c>
      <c r="H316" t="str">
        <f>VLOOKUP(B316,[1]Blad1!$A$1:$G$65536,3,FALSE)</f>
        <v>65</v>
      </c>
      <c r="J316" t="str">
        <f>VLOOKUP(B316,[1]Blad1!$A$1:$G$65536,5,FALSE)</f>
        <v>7351 BP</v>
      </c>
      <c r="K316" t="str">
        <f>VLOOKUP(B316,[1]Blad1!$A$1:$G$65536,6,FALSE)</f>
        <v>Hoenderloo</v>
      </c>
      <c r="L316" t="str">
        <f>VLOOKUP(B316,[1]Blad1!$A$1:$G$65536,7,FALSE)</f>
        <v>NL</v>
      </c>
    </row>
    <row r="317" spans="1:21" x14ac:dyDescent="0.55000000000000004">
      <c r="B317" s="1" t="s">
        <v>257</v>
      </c>
      <c r="G317" t="str">
        <f>VLOOKUP(B317,[1]Blad1!$A$1:$G$65536,2,FALSE)</f>
        <v>Anthony Fokkerstraat</v>
      </c>
      <c r="H317" t="str">
        <f>VLOOKUP(B317,[1]Blad1!$A$1:$G$65536,3,FALSE)</f>
        <v>28</v>
      </c>
      <c r="J317" t="str">
        <f>VLOOKUP(B317,[1]Blad1!$A$1:$G$65536,5,FALSE)</f>
        <v>4462 ET</v>
      </c>
      <c r="K317" t="str">
        <f>VLOOKUP(B317,[1]Blad1!$A$1:$G$65536,6,FALSE)</f>
        <v>Goes</v>
      </c>
      <c r="L317" t="str">
        <f>VLOOKUP(B317,[1]Blad1!$A$1:$G$65536,7,FALSE)</f>
        <v>NL</v>
      </c>
    </row>
    <row r="318" spans="1:21" x14ac:dyDescent="0.55000000000000004">
      <c r="B318" s="1" t="s">
        <v>258</v>
      </c>
      <c r="G318" t="str">
        <f>VLOOKUP(B318,[1]Blad1!$A$1:$G$65536,2,FALSE)</f>
        <v>Gebr. Dealstraat</v>
      </c>
      <c r="H318" t="str">
        <f>VLOOKUP(B318,[1]Blad1!$A$1:$G$65536,3,FALSE)</f>
        <v>2</v>
      </c>
      <c r="J318" t="str">
        <f>VLOOKUP(B318,[1]Blad1!$A$1:$G$65536,5,FALSE)</f>
        <v>5913 RB</v>
      </c>
      <c r="K318" t="str">
        <f>VLOOKUP(B318,[1]Blad1!$A$1:$G$65536,6,FALSE)</f>
        <v>Venlo</v>
      </c>
      <c r="L318" t="str">
        <f>VLOOKUP(B318,[1]Blad1!$A$1:$G$65536,7,FALSE)</f>
        <v>NL</v>
      </c>
    </row>
    <row r="319" spans="1:21" s="49" customFormat="1" x14ac:dyDescent="0.55000000000000004">
      <c r="A319" s="1"/>
      <c r="B319" s="1" t="s">
        <v>258</v>
      </c>
      <c r="G319" s="252" t="s">
        <v>592</v>
      </c>
      <c r="H319" s="49">
        <v>105</v>
      </c>
      <c r="J319" s="253" t="s">
        <v>593</v>
      </c>
      <c r="K319" s="49" t="s">
        <v>594</v>
      </c>
      <c r="L319" s="49" t="s">
        <v>26</v>
      </c>
      <c r="U319" s="15"/>
    </row>
    <row r="320" spans="1:21" x14ac:dyDescent="0.55000000000000004">
      <c r="B320" s="1" t="s">
        <v>259</v>
      </c>
      <c r="G320" t="str">
        <f>VLOOKUP(B320,[1]Blad1!$A$1:$G$65536,2,FALSE)</f>
        <v>Wautersweg</v>
      </c>
      <c r="H320" t="str">
        <f>VLOOKUP(B320,[1]Blad1!$A$1:$G$65536,3,FALSE)</f>
        <v>2</v>
      </c>
      <c r="J320" t="str">
        <f>VLOOKUP(B320,[1]Blad1!$A$1:$G$65536,5,FALSE)</f>
        <v>5993 NR</v>
      </c>
      <c r="K320" t="str">
        <f>VLOOKUP(B320,[1]Blad1!$A$1:$G$65536,6,FALSE)</f>
        <v>Maasbree</v>
      </c>
      <c r="L320" t="str">
        <f>VLOOKUP(B320,[1]Blad1!$A$1:$G$65536,7,FALSE)</f>
        <v>NL</v>
      </c>
    </row>
    <row r="321" spans="1:21" x14ac:dyDescent="0.55000000000000004">
      <c r="B321" s="1" t="s">
        <v>260</v>
      </c>
      <c r="G321" t="str">
        <f>VLOOKUP(B321,[1]Blad1!$A$1:$G$65536,2,FALSE)</f>
        <v>Bedrijfsstraat</v>
      </c>
      <c r="H321" t="str">
        <f>VLOOKUP(B321,[1]Blad1!$A$1:$G$65536,3,FALSE)</f>
        <v>14</v>
      </c>
      <c r="J321" t="s">
        <v>332</v>
      </c>
      <c r="K321" t="s">
        <v>331</v>
      </c>
      <c r="L321" t="str">
        <f>VLOOKUP(B321,[1]Blad1!$A$1:$G$65536,7,FALSE)</f>
        <v>NL</v>
      </c>
    </row>
    <row r="322" spans="1:21" x14ac:dyDescent="0.55000000000000004">
      <c r="B322" s="1" t="s">
        <v>261</v>
      </c>
      <c r="G322" t="str">
        <f>VLOOKUP(B322,[1]Blad1!$A$1:$G$65536,2,FALSE)</f>
        <v>Meppelerweg</v>
      </c>
      <c r="H322" t="str">
        <f>VLOOKUP(B322,[1]Blad1!$A$1:$G$65536,3,FALSE)</f>
        <v>51</v>
      </c>
      <c r="J322" t="s">
        <v>334</v>
      </c>
      <c r="K322" t="s">
        <v>333</v>
      </c>
      <c r="L322" t="str">
        <f>VLOOKUP(B322,[1]Blad1!$A$1:$G$65536,7,FALSE)</f>
        <v>NL</v>
      </c>
    </row>
    <row r="323" spans="1:21" x14ac:dyDescent="0.55000000000000004">
      <c r="B323" s="1" t="s">
        <v>262</v>
      </c>
      <c r="G323" t="str">
        <f>VLOOKUP(B323,[1]Blad1!$A$1:$G$65536,2,FALSE)</f>
        <v>Middendijk</v>
      </c>
      <c r="H323" t="str">
        <f>VLOOKUP(B323,[1]Blad1!$A$1:$G$65536,3,FALSE)</f>
        <v>26</v>
      </c>
      <c r="J323" t="str">
        <f>VLOOKUP(B323,[1]Blad1!$A$1:$G$65536,5,FALSE)</f>
        <v>5705 CC</v>
      </c>
      <c r="K323" t="str">
        <f>VLOOKUP(B323,[1]Blad1!$A$1:$G$65536,6,FALSE)</f>
        <v>Helmond</v>
      </c>
      <c r="L323" t="str">
        <f>VLOOKUP(B323,[1]Blad1!$A$1:$G$65536,7,FALSE)</f>
        <v>NL</v>
      </c>
    </row>
    <row r="324" spans="1:21" x14ac:dyDescent="0.55000000000000004">
      <c r="B324" s="1" t="s">
        <v>263</v>
      </c>
      <c r="G324" t="str">
        <f>VLOOKUP(B324,[1]Blad1!$A$1:$G$65536,2,FALSE)</f>
        <v>Slachtedyk</v>
      </c>
      <c r="H324" t="str">
        <f>VLOOKUP(B324,[1]Blad1!$A$1:$G$65536,3,FALSE)</f>
        <v>1</v>
      </c>
      <c r="J324" t="s">
        <v>336</v>
      </c>
      <c r="K324" t="s">
        <v>335</v>
      </c>
      <c r="L324" t="str">
        <f>VLOOKUP(B324,[1]Blad1!$A$1:$G$65536,7,FALSE)</f>
        <v>NL</v>
      </c>
    </row>
    <row r="325" spans="1:21" x14ac:dyDescent="0.55000000000000004">
      <c r="B325" s="1" t="s">
        <v>264</v>
      </c>
      <c r="G325" t="str">
        <f>VLOOKUP(B325,[1]Blad1!$A$1:$G$65536,2,FALSE)</f>
        <v>Mr. J.B.. Kamweg</v>
      </c>
      <c r="H325" t="str">
        <f>VLOOKUP(B325,[1]Blad1!$A$1:$G$65536,3,FALSE)</f>
        <v>3</v>
      </c>
      <c r="J325" t="str">
        <f>VLOOKUP(B325,[1]Blad1!$A$1:$G$65536,5,FALSE)</f>
        <v>9439 TD</v>
      </c>
      <c r="K325" t="str">
        <f>VLOOKUP(B325,[1]Blad1!$A$1:$G$65536,6,FALSE)</f>
        <v>Witteveen</v>
      </c>
      <c r="L325" t="str">
        <f>VLOOKUP(B325,[1]Blad1!$A$1:$G$65536,7,FALSE)</f>
        <v>NL</v>
      </c>
    </row>
    <row r="326" spans="1:21" x14ac:dyDescent="0.55000000000000004">
      <c r="B326" s="1" t="s">
        <v>265</v>
      </c>
      <c r="G326" t="str">
        <f>VLOOKUP(B326,[1]Blad1!$A$1:$G$65536,2,FALSE)</f>
        <v>Kerkewijk</v>
      </c>
      <c r="H326" t="str">
        <f>VLOOKUP(B326,[1]Blad1!$A$1:$G$65536,3,FALSE)</f>
        <v>261</v>
      </c>
      <c r="J326" t="str">
        <f>VLOOKUP(B326,[1]Blad1!$A$1:$G$65536,5,FALSE)</f>
        <v>3904 JD</v>
      </c>
      <c r="K326" t="str">
        <f>VLOOKUP(B326,[1]Blad1!$A$1:$G$65536,6,FALSE)</f>
        <v>Veenendaal</v>
      </c>
      <c r="L326" t="str">
        <f>VLOOKUP(B326,[1]Blad1!$A$1:$G$65536,7,FALSE)</f>
        <v>NL</v>
      </c>
    </row>
    <row r="327" spans="1:21" x14ac:dyDescent="0.55000000000000004">
      <c r="B327" s="1" t="s">
        <v>266</v>
      </c>
      <c r="G327" t="str">
        <f>VLOOKUP(B327,[1]Blad1!$A$1:$G$65536,2,FALSE)</f>
        <v>Tielsestraat</v>
      </c>
      <c r="H327" t="str">
        <f>VLOOKUP(B327,[1]Blad1!$A$1:$G$65536,3,FALSE)</f>
        <v>103</v>
      </c>
      <c r="J327" t="str">
        <f>VLOOKUP(B327,[1]Blad1!$A$1:$G$65536,5,FALSE)</f>
        <v>4041 CS</v>
      </c>
      <c r="K327" t="str">
        <f>VLOOKUP(B327,[1]Blad1!$A$1:$G$65536,6,FALSE)</f>
        <v>Kesteren</v>
      </c>
      <c r="L327" t="str">
        <f>VLOOKUP(B327,[1]Blad1!$A$1:$G$65536,7,FALSE)</f>
        <v>NL</v>
      </c>
    </row>
    <row r="328" spans="1:21" x14ac:dyDescent="0.55000000000000004">
      <c r="B328" s="1" t="s">
        <v>267</v>
      </c>
      <c r="G328" t="str">
        <f>VLOOKUP(B328,[1]Blad1!$A$1:$G$65536,2,FALSE)</f>
        <v>Mastmakerstraat</v>
      </c>
      <c r="H328" t="str">
        <f>VLOOKUP(B328,[1]Blad1!$A$1:$G$65536,3,FALSE)</f>
        <v>14</v>
      </c>
      <c r="J328" t="str">
        <f>VLOOKUP(B328,[1]Blad1!$A$1:$G$65536,5,FALSE)</f>
        <v>9403 VH</v>
      </c>
      <c r="K328" t="str">
        <f>VLOOKUP(B328,[1]Blad1!$A$1:$G$65536,6,FALSE)</f>
        <v>Assen</v>
      </c>
      <c r="L328" t="str">
        <f>VLOOKUP(B328,[1]Blad1!$A$1:$G$65536,7,FALSE)</f>
        <v>NL</v>
      </c>
    </row>
    <row r="329" spans="1:21" s="49" customFormat="1" x14ac:dyDescent="0.55000000000000004">
      <c r="A329" s="1"/>
      <c r="B329" s="1" t="s">
        <v>267</v>
      </c>
      <c r="G329" s="254" t="s">
        <v>595</v>
      </c>
      <c r="H329" s="49">
        <v>2</v>
      </c>
      <c r="J329" s="255" t="s">
        <v>596</v>
      </c>
      <c r="K329" s="49" t="s">
        <v>597</v>
      </c>
      <c r="L329" s="49" t="s">
        <v>26</v>
      </c>
      <c r="U329" s="15"/>
    </row>
    <row r="330" spans="1:21" x14ac:dyDescent="0.55000000000000004">
      <c r="B330" s="1" t="s">
        <v>268</v>
      </c>
      <c r="G330" t="str">
        <f>VLOOKUP(B330,[1]Blad1!$A$1:$G$65536,2,FALSE)</f>
        <v>Koperslager</v>
      </c>
      <c r="H330" t="str">
        <f>VLOOKUP(B330,[1]Blad1!$A$1:$G$65536,3,FALSE)</f>
        <v>10</v>
      </c>
      <c r="J330" t="str">
        <f>VLOOKUP(B330,[1]Blad1!$A$1:$G$65536,5,FALSE)</f>
        <v>5521 DE</v>
      </c>
      <c r="K330" t="str">
        <f>VLOOKUP(B330,[1]Blad1!$A$1:$G$65536,6,FALSE)</f>
        <v>Eersel</v>
      </c>
      <c r="L330" t="str">
        <f>VLOOKUP(B330,[1]Blad1!$A$1:$G$65536,7,FALSE)</f>
        <v>NL</v>
      </c>
    </row>
    <row r="331" spans="1:21" x14ac:dyDescent="0.55000000000000004">
      <c r="B331" s="1" t="s">
        <v>269</v>
      </c>
      <c r="G331" t="str">
        <f>VLOOKUP(B331,[1]Blad1!$A$1:$G$65536,2,FALSE)</f>
        <v>Zuidlaarderweg</v>
      </c>
      <c r="H331" t="str">
        <f>VLOOKUP(B331,[1]Blad1!$A$1:$G$65536,3,FALSE)</f>
        <v>37</v>
      </c>
      <c r="J331" t="str">
        <f>VLOOKUP(B331,[1]Blad1!$A$1:$G$65536,5,FALSE)</f>
        <v>9482 TV</v>
      </c>
      <c r="K331" t="str">
        <f>VLOOKUP(B331,[1]Blad1!$A$1:$G$65536,6,FALSE)</f>
        <v>Tynaarlo</v>
      </c>
      <c r="L331" t="str">
        <f>VLOOKUP(B331,[1]Blad1!$A$1:$G$65536,7,FALSE)</f>
        <v>NL</v>
      </c>
    </row>
    <row r="332" spans="1:21" x14ac:dyDescent="0.55000000000000004">
      <c r="B332" s="1" t="s">
        <v>270</v>
      </c>
      <c r="G332" t="str">
        <f>VLOOKUP(B332,[1]Blad1!$A$1:$G$65536,2,FALSE)</f>
        <v>Oesterdam</v>
      </c>
      <c r="H332" t="str">
        <f>VLOOKUP(B332,[1]Blad1!$A$1:$G$65536,3,FALSE)</f>
        <v>3</v>
      </c>
      <c r="J332" t="str">
        <f>VLOOKUP(B332,[1]Blad1!$A$1:$G$65536,5,FALSE)</f>
        <v>4691 PV</v>
      </c>
      <c r="K332" t="str">
        <f>VLOOKUP(B332,[1]Blad1!$A$1:$G$65536,6,FALSE)</f>
        <v>Tholen</v>
      </c>
      <c r="L332" t="str">
        <f>VLOOKUP(B332,[1]Blad1!$A$1:$G$65536,7,FALSE)</f>
        <v>NL</v>
      </c>
    </row>
    <row r="333" spans="1:21" x14ac:dyDescent="0.55000000000000004">
      <c r="B333" s="1" t="s">
        <v>271</v>
      </c>
      <c r="G333" t="str">
        <f>VLOOKUP(B333,[1]Blad1!$A$1:$G$65536,2,FALSE)</f>
        <v>De Striptekenaar</v>
      </c>
      <c r="H333">
        <v>34</v>
      </c>
      <c r="I333" t="str">
        <f>VLOOKUP(B333,[1]Blad1!$A$1:$G$65536,4,FALSE)</f>
        <v>A</v>
      </c>
      <c r="J333" t="str">
        <f>VLOOKUP(B333,[1]Blad1!$A$1:$G$65536,5,FALSE)</f>
        <v>1336 CM</v>
      </c>
      <c r="K333" t="str">
        <f>VLOOKUP(B333,[1]Blad1!$A$1:$G$65536,6,FALSE)</f>
        <v>Almere</v>
      </c>
      <c r="L333" t="str">
        <f>VLOOKUP(B333,[1]Blad1!$A$1:$G$65536,7,FALSE)</f>
        <v>NL</v>
      </c>
    </row>
    <row r="334" spans="1:21" x14ac:dyDescent="0.55000000000000004">
      <c r="B334" s="1" t="s">
        <v>272</v>
      </c>
      <c r="G334" t="str">
        <f>VLOOKUP(B334,[1]Blad1!$A$1:$G$65536,2,FALSE)</f>
        <v>Galderseweg</v>
      </c>
      <c r="H334" t="str">
        <f>VLOOKUP(B334,[1]Blad1!$A$1:$G$65536,3,FALSE)</f>
        <v>94</v>
      </c>
      <c r="J334" t="str">
        <f>VLOOKUP(B334,[1]Blad1!$A$1:$G$65536,5,FALSE)</f>
        <v>4855 AJ</v>
      </c>
      <c r="K334" t="str">
        <f>VLOOKUP(B334,[1]Blad1!$A$1:$G$65536,6,FALSE)</f>
        <v>Galder</v>
      </c>
      <c r="L334" t="str">
        <f>VLOOKUP(B334,[1]Blad1!$A$1:$G$65536,7,FALSE)</f>
        <v>NL</v>
      </c>
    </row>
    <row r="335" spans="1:21" x14ac:dyDescent="0.55000000000000004">
      <c r="B335" s="1" t="s">
        <v>273</v>
      </c>
      <c r="G335" t="str">
        <f>VLOOKUP(B335,[1]Blad1!$A$1:$G$65536,2,FALSE)</f>
        <v>Buijs Ballotstraat</v>
      </c>
      <c r="H335" t="str">
        <f>VLOOKUP(B335,[1]Blad1!$A$1:$G$65536,3,FALSE)</f>
        <v>15</v>
      </c>
      <c r="J335" t="str">
        <f>VLOOKUP(B335,[1]Blad1!$A$1:$G$65536,5,FALSE)</f>
        <v>2693 BD</v>
      </c>
      <c r="K335" t="str">
        <f>VLOOKUP(B335,[1]Blad1!$A$1:$G$65536,6,FALSE)</f>
        <v>'s-Gravenzande</v>
      </c>
      <c r="L335" t="str">
        <f>VLOOKUP(B335,[1]Blad1!$A$1:$G$65536,7,FALSE)</f>
        <v>NL</v>
      </c>
    </row>
    <row r="336" spans="1:21" x14ac:dyDescent="0.55000000000000004">
      <c r="B336" s="1" t="s">
        <v>274</v>
      </c>
      <c r="G336" t="str">
        <f>VLOOKUP(B336,[1]Blad1!$A$1:$G$65536,2,FALSE)</f>
        <v>Printer</v>
      </c>
      <c r="H336" t="str">
        <f>VLOOKUP(B336,[1]Blad1!$A$1:$G$65536,3,FALSE)</f>
        <v>33</v>
      </c>
      <c r="J336" t="str">
        <f>VLOOKUP(B336,[1]Blad1!$A$1:$G$65536,5,FALSE)</f>
        <v>7741 ME</v>
      </c>
      <c r="K336" t="str">
        <f>VLOOKUP(B336,[1]Blad1!$A$1:$G$65536,6,FALSE)</f>
        <v>Coevorden</v>
      </c>
      <c r="L336" t="str">
        <f>VLOOKUP(B336,[1]Blad1!$A$1:$G$65536,7,FALSE)</f>
        <v>NL</v>
      </c>
    </row>
    <row r="337" spans="1:21" x14ac:dyDescent="0.55000000000000004">
      <c r="B337" s="1" t="s">
        <v>275</v>
      </c>
      <c r="G337" t="str">
        <f>VLOOKUP(B337,[1]Blad1!$A$1:$G$65536,2,FALSE)</f>
        <v>Columbusweg</v>
      </c>
      <c r="H337" t="str">
        <f>VLOOKUP(B337,[1]Blad1!$A$1:$G$65536,3,FALSE)</f>
        <v>19</v>
      </c>
      <c r="I337" t="str">
        <f>VLOOKUP(B337,[1]Blad1!$A$1:$G$65536,4,FALSE)</f>
        <v>B</v>
      </c>
      <c r="J337" t="s">
        <v>338</v>
      </c>
      <c r="K337" t="s">
        <v>337</v>
      </c>
      <c r="L337" t="str">
        <f>VLOOKUP(B337,[1]Blad1!$A$1:$G$65536,7,FALSE)</f>
        <v>NL</v>
      </c>
    </row>
    <row r="338" spans="1:21" s="49" customFormat="1" x14ac:dyDescent="0.55000000000000004">
      <c r="A338" s="1"/>
      <c r="B338" s="1" t="s">
        <v>275</v>
      </c>
      <c r="G338" s="258" t="s">
        <v>601</v>
      </c>
      <c r="H338" s="49">
        <v>28</v>
      </c>
      <c r="J338" s="259" t="s">
        <v>602</v>
      </c>
      <c r="K338" s="49" t="s">
        <v>603</v>
      </c>
      <c r="L338" s="49" t="s">
        <v>26</v>
      </c>
      <c r="U338" s="15"/>
    </row>
    <row r="339" spans="1:21" s="49" customFormat="1" x14ac:dyDescent="0.55000000000000004">
      <c r="A339" s="1"/>
      <c r="B339" s="1" t="s">
        <v>275</v>
      </c>
      <c r="G339" s="256" t="s">
        <v>598</v>
      </c>
      <c r="H339" s="49">
        <v>423</v>
      </c>
      <c r="I339" s="49" t="s">
        <v>530</v>
      </c>
      <c r="J339" s="257" t="s">
        <v>599</v>
      </c>
      <c r="K339" s="49" t="s">
        <v>600</v>
      </c>
      <c r="L339" s="49" t="s">
        <v>26</v>
      </c>
      <c r="U339" s="15"/>
    </row>
    <row r="340" spans="1:21" x14ac:dyDescent="0.55000000000000004">
      <c r="B340" s="1" t="s">
        <v>276</v>
      </c>
      <c r="G340" t="str">
        <f>VLOOKUP(B340,[1]Blad1!$A$1:$G$65536,2,FALSE)</f>
        <v>Hoofdstraat</v>
      </c>
      <c r="H340" t="str">
        <f>VLOOKUP(B340,[1]Blad1!$A$1:$G$65536,3,FALSE)</f>
        <v>18</v>
      </c>
      <c r="J340" t="str">
        <f>VLOOKUP(B340,[1]Blad1!$A$1:$G$65536,5,FALSE)</f>
        <v>7625 PD</v>
      </c>
      <c r="K340" t="str">
        <f>VLOOKUP(B340,[1]Blad1!$A$1:$G$65536,6,FALSE)</f>
        <v>Zenderen</v>
      </c>
      <c r="L340" t="str">
        <f>VLOOKUP(B340,[1]Blad1!$A$1:$G$65536,7,FALSE)</f>
        <v>NL</v>
      </c>
    </row>
    <row r="341" spans="1:21" x14ac:dyDescent="0.55000000000000004">
      <c r="B341" s="1" t="s">
        <v>277</v>
      </c>
      <c r="G341" t="str">
        <f>VLOOKUP(B341,[1]Blad1!$A$1:$G$65536,2,FALSE)</f>
        <v>Behaimweg</v>
      </c>
      <c r="H341" t="str">
        <f>VLOOKUP(B341,[1]Blad1!$A$1:$G$65536,3,FALSE)</f>
        <v>2</v>
      </c>
      <c r="J341">
        <v>87781</v>
      </c>
      <c r="K341" t="s">
        <v>339</v>
      </c>
      <c r="L341" t="str">
        <f>VLOOKUP(B341,[1]Blad1!$A$1:$G$65536,7,FALSE)</f>
        <v>DE</v>
      </c>
    </row>
    <row r="342" spans="1:21" s="49" customFormat="1" x14ac:dyDescent="0.55000000000000004">
      <c r="A342" s="1"/>
      <c r="B342" s="1" t="s">
        <v>277</v>
      </c>
      <c r="G342" s="260" t="s">
        <v>604</v>
      </c>
      <c r="H342" s="49">
        <v>1</v>
      </c>
      <c r="J342" s="261">
        <v>89564</v>
      </c>
      <c r="K342" s="49" t="s">
        <v>605</v>
      </c>
      <c r="L342" s="49" t="s">
        <v>446</v>
      </c>
      <c r="U342" s="15"/>
    </row>
    <row r="343" spans="1:21" x14ac:dyDescent="0.55000000000000004">
      <c r="B343" s="1" t="s">
        <v>278</v>
      </c>
      <c r="G343" t="str">
        <f>VLOOKUP(B343,[1]Blad1!$A$1:$G$65536,2,FALSE)</f>
        <v>Rondven</v>
      </c>
      <c r="H343" t="str">
        <f>VLOOKUP(B343,[1]Blad1!$A$1:$G$65536,3,FALSE)</f>
        <v>7</v>
      </c>
      <c r="J343" t="str">
        <f>VLOOKUP(B343,[1]Blad1!$A$1:$G$65536,5,FALSE)</f>
        <v>6026 PX</v>
      </c>
      <c r="K343" t="str">
        <f>VLOOKUP(B343,[1]Blad1!$A$1:$G$65536,6,FALSE)</f>
        <v>Maarheeze</v>
      </c>
      <c r="L343" t="str">
        <f>VLOOKUP(B343,[1]Blad1!$A$1:$G$65536,7,FALSE)</f>
        <v>NL</v>
      </c>
    </row>
    <row r="344" spans="1:21" x14ac:dyDescent="0.55000000000000004">
      <c r="B344" s="1" t="s">
        <v>279</v>
      </c>
      <c r="G344" t="str">
        <f>VLOOKUP(B344,[1]Blad1!$A$1:$G$65536,2,FALSE)</f>
        <v>Bijsterhuizen</v>
      </c>
      <c r="H344" t="str">
        <f>VLOOKUP(B344,[1]Blad1!$A$1:$G$65536,3,FALSE)</f>
        <v>3042</v>
      </c>
      <c r="J344" t="str">
        <f>VLOOKUP(B344,[1]Blad1!$A$1:$G$65536,5,FALSE)</f>
        <v>6604 LR</v>
      </c>
      <c r="K344" t="str">
        <f>VLOOKUP(B344,[1]Blad1!$A$1:$G$65536,6,FALSE)</f>
        <v>Wijchen</v>
      </c>
      <c r="L344" t="str">
        <f>VLOOKUP(B344,[1]Blad1!$A$1:$G$65536,7,FALSE)</f>
        <v>NL</v>
      </c>
    </row>
    <row r="345" spans="1:21" x14ac:dyDescent="0.55000000000000004">
      <c r="B345" s="1" t="s">
        <v>280</v>
      </c>
      <c r="G345" t="str">
        <f>VLOOKUP(B345,[1]Blad1!$A$1:$G$65536,2,FALSE)</f>
        <v>Harskamperweg</v>
      </c>
      <c r="H345" t="str">
        <f>VLOOKUP(B345,[1]Blad1!$A$1:$G$65536,3,FALSE)</f>
        <v>56</v>
      </c>
      <c r="J345" t="str">
        <f>VLOOKUP(B345,[1]Blad1!$A$1:$G$65536,5,FALSE)</f>
        <v>3774 JP</v>
      </c>
      <c r="K345" t="str">
        <f>VLOOKUP(B345,[1]Blad1!$A$1:$G$65536,6,FALSE)</f>
        <v>Kootwijkerbroek</v>
      </c>
      <c r="L345" t="str">
        <f>VLOOKUP(B345,[1]Blad1!$A$1:$G$65536,7,FALSE)</f>
        <v>NL</v>
      </c>
    </row>
    <row r="346" spans="1:21" x14ac:dyDescent="0.55000000000000004">
      <c r="B346" s="1" t="s">
        <v>281</v>
      </c>
      <c r="G346" t="str">
        <f>VLOOKUP(B346,[1]Blad1!$A$1:$G$65536,2,FALSE)</f>
        <v>Capucienenbos</v>
      </c>
      <c r="H346" t="str">
        <f>VLOOKUP(B346,[1]Blad1!$A$1:$G$65536,3,FALSE)</f>
        <v>4</v>
      </c>
      <c r="J346">
        <v>2328</v>
      </c>
      <c r="K346" t="s">
        <v>340</v>
      </c>
      <c r="L346" t="str">
        <f>VLOOKUP(B346,[1]Blad1!$A$1:$G$65536,7,FALSE)</f>
        <v>BE</v>
      </c>
    </row>
    <row r="347" spans="1:21" s="49" customFormat="1" x14ac:dyDescent="0.55000000000000004">
      <c r="A347" s="1"/>
      <c r="B347" s="1" t="s">
        <v>281</v>
      </c>
      <c r="G347" s="264" t="s">
        <v>609</v>
      </c>
      <c r="H347" s="49">
        <v>4</v>
      </c>
      <c r="J347" s="265">
        <v>2321</v>
      </c>
      <c r="K347" s="49" t="s">
        <v>610</v>
      </c>
      <c r="L347" s="49" t="s">
        <v>26</v>
      </c>
      <c r="U347" s="15"/>
    </row>
    <row r="348" spans="1:21" s="49" customFormat="1" x14ac:dyDescent="0.55000000000000004">
      <c r="A348" s="1"/>
      <c r="B348" s="1" t="s">
        <v>281</v>
      </c>
      <c r="G348" s="262" t="s">
        <v>606</v>
      </c>
      <c r="H348" s="49">
        <v>2</v>
      </c>
      <c r="J348" s="263" t="s">
        <v>607</v>
      </c>
      <c r="K348" s="49" t="s">
        <v>608</v>
      </c>
      <c r="L348" s="49" t="s">
        <v>26</v>
      </c>
      <c r="U348" s="15"/>
    </row>
    <row r="349" spans="1:21" x14ac:dyDescent="0.55000000000000004">
      <c r="B349" s="1" t="s">
        <v>282</v>
      </c>
      <c r="G349" t="str">
        <f>VLOOKUP(B349,[1]Blad1!$A$1:$G$65536,2,FALSE)</f>
        <v>Hillegondastraat</v>
      </c>
      <c r="H349" t="str">
        <f>VLOOKUP(B349,[1]Blad1!$A$1:$G$65536,3,FALSE)</f>
        <v>17</v>
      </c>
      <c r="I349" t="str">
        <f>VLOOKUP(B349,[1]Blad1!$A$1:$G$65536,4,FALSE)</f>
        <v>a</v>
      </c>
      <c r="J349" t="str">
        <f>VLOOKUP(B349,[1]Blad1!$A$1:$G$65536,5,FALSE)</f>
        <v>3051 PA</v>
      </c>
      <c r="K349" t="str">
        <f>VLOOKUP(B349,[1]Blad1!$A$1:$G$65536,6,FALSE)</f>
        <v>Rotterdam Hillegersberg</v>
      </c>
      <c r="L349" t="str">
        <f>VLOOKUP(B349,[1]Blad1!$A$1:$G$65536,7,FALSE)</f>
        <v>NL</v>
      </c>
    </row>
    <row r="350" spans="1:21" x14ac:dyDescent="0.55000000000000004">
      <c r="B350" s="1" t="s">
        <v>283</v>
      </c>
      <c r="G350" t="str">
        <f>VLOOKUP(B350,[1]Blad1!$A$1:$G$65536,2,FALSE)</f>
        <v>Raadhuisstraat</v>
      </c>
      <c r="H350" t="str">
        <f>VLOOKUP(B350,[1]Blad1!$A$1:$G$65536,3,FALSE)</f>
        <v>100</v>
      </c>
      <c r="J350" t="str">
        <f>VLOOKUP(B350,[1]Blad1!$A$1:$G$65536,5,FALSE)</f>
        <v>1541 JE</v>
      </c>
      <c r="K350" t="str">
        <f>VLOOKUP(B350,[1]Blad1!$A$1:$G$65536,6,FALSE)</f>
        <v>Koog aan de Zaan</v>
      </c>
      <c r="L350" t="str">
        <f>VLOOKUP(B350,[1]Blad1!$A$1:$G$65536,7,FALSE)</f>
        <v>NL</v>
      </c>
    </row>
    <row r="351" spans="1:21" x14ac:dyDescent="0.55000000000000004">
      <c r="B351" s="1" t="s">
        <v>284</v>
      </c>
      <c r="G351" t="str">
        <f>VLOOKUP(B351,[1]Blad1!$A$1:$G$65536,2,FALSE)</f>
        <v>Roodborststraat</v>
      </c>
      <c r="H351" t="str">
        <f>VLOOKUP(B351,[1]Blad1!$A$1:$G$65536,3,FALSE)</f>
        <v>26</v>
      </c>
      <c r="I351" t="str">
        <f>VLOOKUP(B351,[1]Blad1!$A$1:$G$65536,4,FALSE)</f>
        <v>R</v>
      </c>
      <c r="J351" t="str">
        <f>VLOOKUP(B351,[1]Blad1!$A$1:$G$65536,5,FALSE)</f>
        <v>2353 HB</v>
      </c>
      <c r="K351" t="str">
        <f>VLOOKUP(B351,[1]Blad1!$A$1:$G$65536,6,FALSE)</f>
        <v>Leiderdorp</v>
      </c>
      <c r="L351" t="str">
        <f>VLOOKUP(B351,[1]Blad1!$A$1:$G$65536,7,FALSE)</f>
        <v>NL</v>
      </c>
    </row>
    <row r="352" spans="1:21" x14ac:dyDescent="0.55000000000000004">
      <c r="B352" s="1" t="s">
        <v>285</v>
      </c>
      <c r="G352" t="str">
        <f>VLOOKUP(B352,[1]Blad1!$A$1:$G$65536,2,FALSE)</f>
        <v>Masuiplein</v>
      </c>
      <c r="H352" t="str">
        <f>VLOOKUP(B352,[1]Blad1!$A$1:$G$65536,3,FALSE)</f>
        <v>29</v>
      </c>
      <c r="J352">
        <v>1000</v>
      </c>
      <c r="K352" t="s">
        <v>341</v>
      </c>
      <c r="L352" t="str">
        <f>VLOOKUP(B352,[1]Blad1!$A$1:$G$65536,7,FALSE)</f>
        <v>BE</v>
      </c>
    </row>
    <row r="353" spans="2:12" x14ac:dyDescent="0.55000000000000004">
      <c r="B353" s="1" t="s">
        <v>286</v>
      </c>
      <c r="G353" t="str">
        <f>VLOOKUP(B353,[1]Blad1!$A$1:$G$65536,2,FALSE)</f>
        <v>Verbindingsweg</v>
      </c>
      <c r="H353" t="str">
        <f>VLOOKUP(B353,[1]Blad1!$A$1:$G$65536,3,FALSE)</f>
        <v>17</v>
      </c>
      <c r="J353" t="str">
        <f>VLOOKUP(B353,[1]Blad1!$A$1:$G$65536,5,FALSE)</f>
        <v>9781 DA</v>
      </c>
      <c r="K353" t="str">
        <f>VLOOKUP(B353,[1]Blad1!$A$1:$G$65536,6,FALSE)</f>
        <v>Bedumm</v>
      </c>
      <c r="L353" t="str">
        <f>VLOOKUP(B353,[1]Blad1!$A$1:$G$65536,7,FALSE)</f>
        <v>NL</v>
      </c>
    </row>
    <row r="354" spans="2:12" x14ac:dyDescent="0.55000000000000004">
      <c r="B354" s="1" t="s">
        <v>265</v>
      </c>
      <c r="G354" t="str">
        <f>VLOOKUP(B354,[1]Blad1!$A$1:$G$65536,2,FALSE)</f>
        <v>Kerkewijk</v>
      </c>
      <c r="H354" t="str">
        <f>VLOOKUP(B354,[1]Blad1!$A$1:$G$65536,3,FALSE)</f>
        <v>261</v>
      </c>
      <c r="J354" t="str">
        <f>VLOOKUP(B354,[1]Blad1!$A$1:$G$65536,5,FALSE)</f>
        <v>3904 JD</v>
      </c>
      <c r="K354" t="str">
        <f>VLOOKUP(B354,[1]Blad1!$A$1:$G$65536,6,FALSE)</f>
        <v>Veenendaal</v>
      </c>
      <c r="L354" t="str">
        <f>VLOOKUP(B354,[1]Blad1!$A$1:$G$65536,7,FALSE)</f>
        <v>NL</v>
      </c>
    </row>
  </sheetData>
  <pageMargins left="0.7" right="0.7" top="0.75" bottom="0.75" header="0.3" footer="0.3"/>
  <pageSetup paperSize="9" orientation="portrait" horizontalDpi="4294967293" r:id="rId1"/>
  <ignoredErrors>
    <ignoredError sqref="H141" twoDigitTextYear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2022-12-08T20:09:32Z</dcterms:modified>
</cp:coreProperties>
</file>